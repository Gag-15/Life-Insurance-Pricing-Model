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8_{05E5423E-EA0F-4668-837F-D03E9958B8A4}" xr6:coauthVersionLast="47" xr6:coauthVersionMax="47" xr10:uidLastSave="{00000000-0000-0000-0000-000000000000}"/>
  <bookViews>
    <workbookView xWindow="-108" yWindow="-108" windowWidth="23256" windowHeight="12456" xr2:uid="{5442F4A8-D261-4565-AF57-C8D584E00EE8}"/>
  </bookViews>
  <sheets>
    <sheet name="Assumptions" sheetId="1" r:id="rId1"/>
    <sheet name="Mortality_Table" sheetId="2" r:id="rId2"/>
    <sheet name="Pricing_Model" sheetId="4" r:id="rId3"/>
    <sheet name="Reserving_Model" sheetId="3" r:id="rId4"/>
    <sheet name="Interest_Rate_Sensitivity" sheetId="6" r:id="rId5"/>
    <sheet name="Model_Summary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7" l="1"/>
  <c r="Q6" i="7" s="1"/>
  <c r="N6" i="7"/>
  <c r="M6" i="7"/>
  <c r="K6" i="7"/>
  <c r="L6" i="7"/>
  <c r="G6" i="7"/>
  <c r="F6" i="7"/>
  <c r="E6" i="7"/>
  <c r="D6" i="7"/>
  <c r="C6" i="7"/>
  <c r="B6" i="7"/>
  <c r="Y5" i="3"/>
  <c r="T36" i="3" l="1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V60" i="3" s="1"/>
  <c r="K9" i="4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H5" i="6"/>
  <c r="H6" i="6"/>
  <c r="H4" i="6"/>
  <c r="E5" i="6"/>
  <c r="E6" i="6"/>
  <c r="E4" i="6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S60" i="3"/>
  <c r="M58" i="3"/>
  <c r="M57" i="3"/>
  <c r="M56" i="3"/>
  <c r="M55" i="3"/>
  <c r="H11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M51" i="3" s="1"/>
  <c r="B52" i="3"/>
  <c r="M52" i="3" s="1"/>
  <c r="B53" i="3"/>
  <c r="M53" i="3" s="1"/>
  <c r="B54" i="3"/>
  <c r="M54" i="3" s="1"/>
  <c r="B55" i="3"/>
  <c r="B56" i="3"/>
  <c r="B57" i="3"/>
  <c r="B58" i="3"/>
  <c r="B59" i="3"/>
  <c r="B60" i="3"/>
  <c r="W9" i="4"/>
  <c r="F11" i="3" s="1"/>
  <c r="J9" i="4"/>
  <c r="J11" i="3" s="1"/>
  <c r="I9" i="4"/>
  <c r="I11" i="3" s="1"/>
  <c r="K10" i="4" l="1"/>
  <c r="K12" i="3" s="1"/>
  <c r="K11" i="3"/>
  <c r="M59" i="3"/>
  <c r="M60" i="3"/>
  <c r="L9" i="4"/>
  <c r="L11" i="3" s="1"/>
  <c r="R5" i="3"/>
  <c r="R6" i="3" s="1"/>
  <c r="D7" i="3"/>
  <c r="D5" i="3"/>
  <c r="D6" i="3" s="1"/>
  <c r="D3" i="4"/>
  <c r="N6" i="3"/>
  <c r="N5" i="3"/>
  <c r="C11" i="3"/>
  <c r="C12" i="3" s="1"/>
  <c r="B11" i="3"/>
  <c r="U9" i="4"/>
  <c r="T9" i="4"/>
  <c r="R9" i="4"/>
  <c r="S8" i="4"/>
  <c r="R8" i="4"/>
  <c r="H2" i="4"/>
  <c r="H3" i="4" s="1"/>
  <c r="D2" i="4"/>
  <c r="C10" i="4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7" i="2"/>
  <c r="D9" i="4"/>
  <c r="D10" i="4" s="1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L10" i="4" l="1"/>
  <c r="L12" i="3" s="1"/>
  <c r="K11" i="4"/>
  <c r="K13" i="3" s="1"/>
  <c r="Y9" i="4"/>
  <c r="G11" i="3"/>
  <c r="T11" i="3" s="1"/>
  <c r="K12" i="4"/>
  <c r="K14" i="3" s="1"/>
  <c r="L11" i="4"/>
  <c r="L13" i="3" s="1"/>
  <c r="C11" i="4"/>
  <c r="I10" i="4"/>
  <c r="I12" i="3" s="1"/>
  <c r="J10" i="4"/>
  <c r="J12" i="3" s="1"/>
  <c r="B12" i="3"/>
  <c r="D11" i="4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S34" i="4" s="1"/>
  <c r="E10" i="4"/>
  <c r="F10" i="4" s="1"/>
  <c r="E9" i="4"/>
  <c r="F9" i="4" s="1"/>
  <c r="X9" i="4"/>
  <c r="S10" i="4"/>
  <c r="D4" i="4"/>
  <c r="N7" i="3"/>
  <c r="D12" i="3"/>
  <c r="E12" i="3" s="1"/>
  <c r="C13" i="3"/>
  <c r="D11" i="3"/>
  <c r="E11" i="3" s="1"/>
  <c r="R11" i="4"/>
  <c r="R10" i="4"/>
  <c r="W10" i="4" s="1"/>
  <c r="S9" i="4"/>
  <c r="G8" i="4"/>
  <c r="V8" i="4" s="1"/>
  <c r="H8" i="4"/>
  <c r="W11" i="4" l="1"/>
  <c r="F13" i="3" s="1"/>
  <c r="F12" i="3"/>
  <c r="C12" i="4"/>
  <c r="I11" i="4"/>
  <c r="I13" i="3" s="1"/>
  <c r="J11" i="4"/>
  <c r="J13" i="3" s="1"/>
  <c r="B13" i="3"/>
  <c r="U10" i="4"/>
  <c r="T10" i="4"/>
  <c r="K13" i="4"/>
  <c r="K15" i="3" s="1"/>
  <c r="L12" i="4"/>
  <c r="L14" i="3" s="1"/>
  <c r="D35" i="4"/>
  <c r="S35" i="4" s="1"/>
  <c r="E34" i="4"/>
  <c r="E11" i="4"/>
  <c r="F11" i="4" s="1"/>
  <c r="C14" i="3"/>
  <c r="D13" i="3"/>
  <c r="E13" i="3" s="1"/>
  <c r="H9" i="4"/>
  <c r="M9" i="4" s="1"/>
  <c r="G9" i="4"/>
  <c r="V9" i="4" s="1"/>
  <c r="T11" i="4" l="1"/>
  <c r="H13" i="3" s="1"/>
  <c r="H12" i="3"/>
  <c r="U11" i="4"/>
  <c r="G13" i="3" s="1"/>
  <c r="G12" i="3"/>
  <c r="T12" i="3" s="1"/>
  <c r="T13" i="3" s="1"/>
  <c r="X10" i="4"/>
  <c r="Y10" i="4"/>
  <c r="K14" i="4"/>
  <c r="K16" i="3" s="1"/>
  <c r="L13" i="4"/>
  <c r="L15" i="3" s="1"/>
  <c r="I12" i="4"/>
  <c r="I14" i="3" s="1"/>
  <c r="C13" i="4"/>
  <c r="J12" i="4"/>
  <c r="J14" i="3" s="1"/>
  <c r="B14" i="3"/>
  <c r="R12" i="4"/>
  <c r="D36" i="4"/>
  <c r="S36" i="4" s="1"/>
  <c r="E35" i="4"/>
  <c r="E12" i="4"/>
  <c r="F12" i="4" s="1"/>
  <c r="S11" i="4"/>
  <c r="C15" i="3"/>
  <c r="D14" i="3"/>
  <c r="E14" i="3" s="1"/>
  <c r="H10" i="4"/>
  <c r="M10" i="4" s="1"/>
  <c r="G10" i="4"/>
  <c r="V10" i="4" s="1"/>
  <c r="T12" i="4" l="1"/>
  <c r="H14" i="3" s="1"/>
  <c r="W12" i="4"/>
  <c r="F14" i="3" s="1"/>
  <c r="X11" i="4"/>
  <c r="Y11" i="4"/>
  <c r="K15" i="4"/>
  <c r="K17" i="3" s="1"/>
  <c r="L14" i="4"/>
  <c r="L16" i="3" s="1"/>
  <c r="C14" i="4"/>
  <c r="J13" i="4"/>
  <c r="J15" i="3" s="1"/>
  <c r="R13" i="4"/>
  <c r="T13" i="4" s="1"/>
  <c r="H15" i="3" s="1"/>
  <c r="B15" i="3"/>
  <c r="I13" i="4"/>
  <c r="I15" i="3" s="1"/>
  <c r="U12" i="4"/>
  <c r="D37" i="4"/>
  <c r="S37" i="4" s="1"/>
  <c r="E36" i="4"/>
  <c r="E13" i="4"/>
  <c r="F13" i="4" s="1"/>
  <c r="S12" i="4"/>
  <c r="C16" i="3"/>
  <c r="D15" i="3"/>
  <c r="E15" i="3" s="1"/>
  <c r="H11" i="4"/>
  <c r="M11" i="4" s="1"/>
  <c r="G11" i="4"/>
  <c r="V11" i="4" s="1"/>
  <c r="U13" i="4" l="1"/>
  <c r="G15" i="3" s="1"/>
  <c r="G14" i="3"/>
  <c r="T14" i="3" s="1"/>
  <c r="W13" i="4"/>
  <c r="F15" i="3" s="1"/>
  <c r="Y12" i="4"/>
  <c r="X12" i="4"/>
  <c r="I14" i="4"/>
  <c r="I16" i="3" s="1"/>
  <c r="C15" i="4"/>
  <c r="J14" i="4"/>
  <c r="J16" i="3" s="1"/>
  <c r="B16" i="3"/>
  <c r="R14" i="4"/>
  <c r="L15" i="4"/>
  <c r="L17" i="3" s="1"/>
  <c r="K16" i="4"/>
  <c r="K18" i="3" s="1"/>
  <c r="D38" i="4"/>
  <c r="S38" i="4" s="1"/>
  <c r="E37" i="4"/>
  <c r="E14" i="4"/>
  <c r="F14" i="4" s="1"/>
  <c r="S13" i="4"/>
  <c r="C17" i="3"/>
  <c r="D16" i="3"/>
  <c r="E16" i="3" s="1"/>
  <c r="G12" i="4"/>
  <c r="V12" i="4" s="1"/>
  <c r="H12" i="4"/>
  <c r="M12" i="4" s="1"/>
  <c r="T15" i="3" l="1"/>
  <c r="U14" i="4"/>
  <c r="G16" i="3" s="1"/>
  <c r="W14" i="4"/>
  <c r="F16" i="3" s="1"/>
  <c r="Y13" i="4"/>
  <c r="X13" i="4"/>
  <c r="K17" i="4"/>
  <c r="K19" i="3" s="1"/>
  <c r="L16" i="4"/>
  <c r="L18" i="3" s="1"/>
  <c r="C16" i="4"/>
  <c r="J15" i="4"/>
  <c r="J17" i="3" s="1"/>
  <c r="R15" i="4"/>
  <c r="B17" i="3"/>
  <c r="T14" i="4"/>
  <c r="I15" i="4"/>
  <c r="I17" i="3" s="1"/>
  <c r="D39" i="4"/>
  <c r="S39" i="4" s="1"/>
  <c r="E38" i="4"/>
  <c r="E15" i="4"/>
  <c r="F15" i="4" s="1"/>
  <c r="S14" i="4"/>
  <c r="C18" i="3"/>
  <c r="D17" i="3"/>
  <c r="E17" i="3" s="1"/>
  <c r="G13" i="4"/>
  <c r="V13" i="4" s="1"/>
  <c r="H13" i="4"/>
  <c r="M13" i="4" s="1"/>
  <c r="T16" i="3" l="1"/>
  <c r="U15" i="4"/>
  <c r="G17" i="3" s="1"/>
  <c r="T15" i="4"/>
  <c r="H17" i="3" s="1"/>
  <c r="H16" i="3"/>
  <c r="W15" i="4"/>
  <c r="F17" i="3" s="1"/>
  <c r="Y14" i="4"/>
  <c r="X14" i="4"/>
  <c r="K18" i="4"/>
  <c r="K20" i="3" s="1"/>
  <c r="L17" i="4"/>
  <c r="L19" i="3" s="1"/>
  <c r="I16" i="4"/>
  <c r="I18" i="3" s="1"/>
  <c r="C17" i="4"/>
  <c r="J16" i="4"/>
  <c r="J18" i="3" s="1"/>
  <c r="R16" i="4"/>
  <c r="T16" i="4" s="1"/>
  <c r="H18" i="3" s="1"/>
  <c r="B18" i="3"/>
  <c r="D40" i="4"/>
  <c r="S40" i="4" s="1"/>
  <c r="E39" i="4"/>
  <c r="E16" i="4"/>
  <c r="F16" i="4" s="1"/>
  <c r="S15" i="4"/>
  <c r="C19" i="3"/>
  <c r="D18" i="3"/>
  <c r="E18" i="3" s="1"/>
  <c r="G14" i="4"/>
  <c r="V14" i="4" s="1"/>
  <c r="H14" i="4"/>
  <c r="M14" i="4" s="1"/>
  <c r="T17" i="3" l="1"/>
  <c r="U16" i="4"/>
  <c r="G18" i="3" s="1"/>
  <c r="W16" i="4"/>
  <c r="F18" i="3" s="1"/>
  <c r="T18" i="3" s="1"/>
  <c r="X15" i="4"/>
  <c r="Y15" i="4"/>
  <c r="C18" i="4"/>
  <c r="J17" i="4"/>
  <c r="J19" i="3" s="1"/>
  <c r="R17" i="4"/>
  <c r="T17" i="4" s="1"/>
  <c r="H19" i="3" s="1"/>
  <c r="B19" i="3"/>
  <c r="I17" i="4"/>
  <c r="I19" i="3" s="1"/>
  <c r="K19" i="4"/>
  <c r="K21" i="3" s="1"/>
  <c r="L18" i="4"/>
  <c r="L20" i="3" s="1"/>
  <c r="D41" i="4"/>
  <c r="S41" i="4" s="1"/>
  <c r="E40" i="4"/>
  <c r="E17" i="4"/>
  <c r="F17" i="4" s="1"/>
  <c r="S16" i="4"/>
  <c r="C20" i="3"/>
  <c r="D19" i="3"/>
  <c r="E19" i="3" s="1"/>
  <c r="G15" i="4"/>
  <c r="V15" i="4" s="1"/>
  <c r="H15" i="4"/>
  <c r="M15" i="4" s="1"/>
  <c r="U17" i="4" l="1"/>
  <c r="G19" i="3" s="1"/>
  <c r="W17" i="4"/>
  <c r="F19" i="3" s="1"/>
  <c r="X16" i="4"/>
  <c r="Y16" i="4"/>
  <c r="I18" i="4"/>
  <c r="I20" i="3" s="1"/>
  <c r="C19" i="4"/>
  <c r="J18" i="4"/>
  <c r="J20" i="3" s="1"/>
  <c r="B20" i="3"/>
  <c r="R18" i="4"/>
  <c r="T18" i="4" s="1"/>
  <c r="H20" i="3" s="1"/>
  <c r="K20" i="4"/>
  <c r="K22" i="3" s="1"/>
  <c r="L19" i="4"/>
  <c r="L21" i="3" s="1"/>
  <c r="D42" i="4"/>
  <c r="S42" i="4" s="1"/>
  <c r="E41" i="4"/>
  <c r="E18" i="4"/>
  <c r="F18" i="4" s="1"/>
  <c r="S17" i="4"/>
  <c r="C21" i="3"/>
  <c r="D20" i="3"/>
  <c r="E20" i="3" s="1"/>
  <c r="G16" i="4"/>
  <c r="V16" i="4" s="1"/>
  <c r="H16" i="4"/>
  <c r="M16" i="4" s="1"/>
  <c r="T19" i="3" l="1"/>
  <c r="W18" i="4"/>
  <c r="F20" i="3" s="1"/>
  <c r="X17" i="4"/>
  <c r="Y17" i="4"/>
  <c r="L20" i="4"/>
  <c r="L22" i="3" s="1"/>
  <c r="K21" i="4"/>
  <c r="K23" i="3" s="1"/>
  <c r="C20" i="4"/>
  <c r="J19" i="4"/>
  <c r="J21" i="3" s="1"/>
  <c r="R19" i="4"/>
  <c r="T19" i="4" s="1"/>
  <c r="H21" i="3" s="1"/>
  <c r="B21" i="3"/>
  <c r="I19" i="4"/>
  <c r="I21" i="3" s="1"/>
  <c r="U18" i="4"/>
  <c r="D43" i="4"/>
  <c r="S43" i="4" s="1"/>
  <c r="E42" i="4"/>
  <c r="E19" i="4"/>
  <c r="F19" i="4" s="1"/>
  <c r="S18" i="4"/>
  <c r="C22" i="3"/>
  <c r="D21" i="3"/>
  <c r="E21" i="3" s="1"/>
  <c r="G17" i="4"/>
  <c r="V17" i="4" s="1"/>
  <c r="H17" i="4"/>
  <c r="M17" i="4" s="1"/>
  <c r="U19" i="4" l="1"/>
  <c r="G21" i="3" s="1"/>
  <c r="G20" i="3"/>
  <c r="T20" i="3" s="1"/>
  <c r="W19" i="4"/>
  <c r="F21" i="3" s="1"/>
  <c r="X18" i="4"/>
  <c r="Y18" i="4"/>
  <c r="I20" i="4"/>
  <c r="I22" i="3" s="1"/>
  <c r="C21" i="4"/>
  <c r="J20" i="4"/>
  <c r="J22" i="3" s="1"/>
  <c r="B22" i="3"/>
  <c r="R20" i="4"/>
  <c r="L21" i="4"/>
  <c r="L23" i="3" s="1"/>
  <c r="K22" i="4"/>
  <c r="K24" i="3" s="1"/>
  <c r="T20" i="4"/>
  <c r="H22" i="3" s="1"/>
  <c r="D44" i="4"/>
  <c r="S44" i="4" s="1"/>
  <c r="E43" i="4"/>
  <c r="E20" i="4"/>
  <c r="F20" i="4" s="1"/>
  <c r="S19" i="4"/>
  <c r="C23" i="3"/>
  <c r="D22" i="3"/>
  <c r="E22" i="3" s="1"/>
  <c r="G18" i="4"/>
  <c r="V18" i="4" s="1"/>
  <c r="H18" i="4"/>
  <c r="M18" i="4" s="1"/>
  <c r="T21" i="3" l="1"/>
  <c r="U20" i="4"/>
  <c r="G22" i="3" s="1"/>
  <c r="W20" i="4"/>
  <c r="F22" i="3" s="1"/>
  <c r="X19" i="4"/>
  <c r="Y19" i="4"/>
  <c r="C22" i="4"/>
  <c r="J21" i="4"/>
  <c r="J23" i="3" s="1"/>
  <c r="B23" i="3"/>
  <c r="R21" i="4"/>
  <c r="T21" i="4" s="1"/>
  <c r="H23" i="3" s="1"/>
  <c r="K23" i="4"/>
  <c r="K25" i="3" s="1"/>
  <c r="L22" i="4"/>
  <c r="L24" i="3" s="1"/>
  <c r="I21" i="4"/>
  <c r="I23" i="3" s="1"/>
  <c r="D45" i="4"/>
  <c r="S45" i="4" s="1"/>
  <c r="E44" i="4"/>
  <c r="E21" i="4"/>
  <c r="F21" i="4" s="1"/>
  <c r="S20" i="4"/>
  <c r="C24" i="3"/>
  <c r="D23" i="3"/>
  <c r="E23" i="3" s="1"/>
  <c r="G19" i="4"/>
  <c r="V19" i="4" s="1"/>
  <c r="H19" i="4"/>
  <c r="M19" i="4" s="1"/>
  <c r="T22" i="3" l="1"/>
  <c r="U21" i="4"/>
  <c r="G23" i="3" s="1"/>
  <c r="W21" i="4"/>
  <c r="F23" i="3" s="1"/>
  <c r="X20" i="4"/>
  <c r="Y20" i="4"/>
  <c r="I22" i="4"/>
  <c r="I24" i="3" s="1"/>
  <c r="K24" i="4"/>
  <c r="K26" i="3" s="1"/>
  <c r="L23" i="4"/>
  <c r="L25" i="3" s="1"/>
  <c r="C23" i="4"/>
  <c r="J22" i="4"/>
  <c r="R22" i="4"/>
  <c r="B24" i="3"/>
  <c r="D46" i="4"/>
  <c r="S46" i="4" s="1"/>
  <c r="E45" i="4"/>
  <c r="E22" i="4"/>
  <c r="F22" i="4" s="1"/>
  <c r="S21" i="4"/>
  <c r="C25" i="3"/>
  <c r="D24" i="3"/>
  <c r="E24" i="3" s="1"/>
  <c r="G20" i="4"/>
  <c r="V20" i="4" s="1"/>
  <c r="H20" i="4"/>
  <c r="M20" i="4" s="1"/>
  <c r="T23" i="3" l="1"/>
  <c r="U22" i="4"/>
  <c r="G24" i="3" s="1"/>
  <c r="J23" i="4"/>
  <c r="J25" i="3" s="1"/>
  <c r="J24" i="3"/>
  <c r="T22" i="4"/>
  <c r="H24" i="3" s="1"/>
  <c r="W22" i="4"/>
  <c r="F24" i="3" s="1"/>
  <c r="Y21" i="4"/>
  <c r="X21" i="4"/>
  <c r="C24" i="4"/>
  <c r="R23" i="4"/>
  <c r="B25" i="3"/>
  <c r="L24" i="4"/>
  <c r="L26" i="3" s="1"/>
  <c r="K25" i="4"/>
  <c r="K27" i="3" s="1"/>
  <c r="I23" i="4"/>
  <c r="I25" i="3" s="1"/>
  <c r="D47" i="4"/>
  <c r="S47" i="4" s="1"/>
  <c r="E46" i="4"/>
  <c r="E23" i="4"/>
  <c r="F23" i="4" s="1"/>
  <c r="S22" i="4"/>
  <c r="C26" i="3"/>
  <c r="D25" i="3"/>
  <c r="E25" i="3" s="1"/>
  <c r="G21" i="4"/>
  <c r="V21" i="4" s="1"/>
  <c r="H21" i="4"/>
  <c r="M21" i="4" s="1"/>
  <c r="T24" i="3" l="1"/>
  <c r="T23" i="4"/>
  <c r="H25" i="3" s="1"/>
  <c r="U23" i="4"/>
  <c r="G25" i="3" s="1"/>
  <c r="W23" i="4"/>
  <c r="F25" i="3" s="1"/>
  <c r="T25" i="3" s="1"/>
  <c r="Y22" i="4"/>
  <c r="X22" i="4"/>
  <c r="C25" i="4"/>
  <c r="B26" i="3"/>
  <c r="R24" i="4"/>
  <c r="I24" i="4"/>
  <c r="I26" i="3" s="1"/>
  <c r="K26" i="4"/>
  <c r="K28" i="3" s="1"/>
  <c r="L25" i="4"/>
  <c r="L27" i="3" s="1"/>
  <c r="J24" i="4"/>
  <c r="D48" i="4"/>
  <c r="S48" i="4" s="1"/>
  <c r="E47" i="4"/>
  <c r="E24" i="4"/>
  <c r="F24" i="4" s="1"/>
  <c r="S23" i="4"/>
  <c r="C27" i="3"/>
  <c r="D26" i="3"/>
  <c r="E26" i="3" s="1"/>
  <c r="G22" i="4"/>
  <c r="V22" i="4" s="1"/>
  <c r="H22" i="4"/>
  <c r="M22" i="4" s="1"/>
  <c r="U24" i="4" l="1"/>
  <c r="G26" i="3" s="1"/>
  <c r="T24" i="4"/>
  <c r="H26" i="3" s="1"/>
  <c r="J25" i="4"/>
  <c r="J27" i="3" s="1"/>
  <c r="J26" i="3"/>
  <c r="W24" i="4"/>
  <c r="F26" i="3" s="1"/>
  <c r="X23" i="4"/>
  <c r="Y23" i="4"/>
  <c r="K27" i="4"/>
  <c r="K29" i="3" s="1"/>
  <c r="L26" i="4"/>
  <c r="L28" i="3" s="1"/>
  <c r="I25" i="4"/>
  <c r="I27" i="3" s="1"/>
  <c r="C26" i="4"/>
  <c r="B27" i="3"/>
  <c r="R25" i="4"/>
  <c r="T25" i="4" s="1"/>
  <c r="H27" i="3" s="1"/>
  <c r="D49" i="4"/>
  <c r="S49" i="4" s="1"/>
  <c r="E48" i="4"/>
  <c r="E25" i="4"/>
  <c r="F25" i="4" s="1"/>
  <c r="S24" i="4"/>
  <c r="C28" i="3"/>
  <c r="D27" i="3"/>
  <c r="E27" i="3" s="1"/>
  <c r="G23" i="4"/>
  <c r="V23" i="4" s="1"/>
  <c r="H23" i="4"/>
  <c r="M23" i="4" s="1"/>
  <c r="T26" i="3" l="1"/>
  <c r="W25" i="4"/>
  <c r="F27" i="3" s="1"/>
  <c r="X24" i="4"/>
  <c r="Y24" i="4"/>
  <c r="L27" i="4"/>
  <c r="L29" i="3" s="1"/>
  <c r="K28" i="4"/>
  <c r="K30" i="3" s="1"/>
  <c r="C27" i="4"/>
  <c r="B28" i="3"/>
  <c r="R26" i="4"/>
  <c r="T26" i="4" s="1"/>
  <c r="H28" i="3" s="1"/>
  <c r="U25" i="4"/>
  <c r="I26" i="4"/>
  <c r="I28" i="3" s="1"/>
  <c r="J26" i="4"/>
  <c r="E49" i="4"/>
  <c r="F49" i="4" s="1"/>
  <c r="D50" i="4"/>
  <c r="S50" i="4" s="1"/>
  <c r="E26" i="4"/>
  <c r="F26" i="4" s="1"/>
  <c r="S25" i="4"/>
  <c r="C29" i="3"/>
  <c r="D28" i="3"/>
  <c r="E28" i="3" s="1"/>
  <c r="G24" i="4"/>
  <c r="V24" i="4" s="1"/>
  <c r="H24" i="4"/>
  <c r="M24" i="4" s="1"/>
  <c r="U26" i="4" l="1"/>
  <c r="G28" i="3" s="1"/>
  <c r="G27" i="3"/>
  <c r="T27" i="3" s="1"/>
  <c r="J27" i="4"/>
  <c r="J29" i="3" s="1"/>
  <c r="J28" i="3"/>
  <c r="W26" i="4"/>
  <c r="F28" i="3" s="1"/>
  <c r="X25" i="4"/>
  <c r="Y25" i="4"/>
  <c r="I27" i="4"/>
  <c r="I29" i="3" s="1"/>
  <c r="C28" i="4"/>
  <c r="R27" i="4"/>
  <c r="T27" i="4" s="1"/>
  <c r="H29" i="3" s="1"/>
  <c r="B29" i="3"/>
  <c r="J28" i="4"/>
  <c r="J30" i="3" s="1"/>
  <c r="L28" i="4"/>
  <c r="L30" i="3" s="1"/>
  <c r="K29" i="4"/>
  <c r="K31" i="3" s="1"/>
  <c r="E50" i="4"/>
  <c r="F50" i="4" s="1"/>
  <c r="D51" i="4"/>
  <c r="S51" i="4" s="1"/>
  <c r="E27" i="4"/>
  <c r="F27" i="4" s="1"/>
  <c r="S26" i="4"/>
  <c r="C30" i="3"/>
  <c r="D29" i="3"/>
  <c r="E29" i="3" s="1"/>
  <c r="G25" i="4"/>
  <c r="V25" i="4" s="1"/>
  <c r="H25" i="4"/>
  <c r="M25" i="4" s="1"/>
  <c r="T28" i="3" l="1"/>
  <c r="U27" i="4"/>
  <c r="G29" i="3" s="1"/>
  <c r="W27" i="4"/>
  <c r="F29" i="3" s="1"/>
  <c r="X26" i="4"/>
  <c r="Y26" i="4"/>
  <c r="C29" i="4"/>
  <c r="R28" i="4"/>
  <c r="T28" i="4" s="1"/>
  <c r="H30" i="3" s="1"/>
  <c r="B30" i="3"/>
  <c r="I28" i="4"/>
  <c r="I30" i="3" s="1"/>
  <c r="K30" i="4"/>
  <c r="K32" i="3" s="1"/>
  <c r="L29" i="4"/>
  <c r="L31" i="3" s="1"/>
  <c r="E51" i="4"/>
  <c r="F51" i="4" s="1"/>
  <c r="D52" i="4"/>
  <c r="S52" i="4" s="1"/>
  <c r="E28" i="4"/>
  <c r="F28" i="4" s="1"/>
  <c r="S27" i="4"/>
  <c r="C31" i="3"/>
  <c r="D30" i="3"/>
  <c r="E30" i="3" s="1"/>
  <c r="G26" i="4"/>
  <c r="V26" i="4" s="1"/>
  <c r="H26" i="4"/>
  <c r="M26" i="4" s="1"/>
  <c r="T29" i="3" l="1"/>
  <c r="U28" i="4"/>
  <c r="G30" i="3" s="1"/>
  <c r="W28" i="4"/>
  <c r="F30" i="3" s="1"/>
  <c r="X27" i="4"/>
  <c r="Y27" i="4"/>
  <c r="L30" i="4"/>
  <c r="L32" i="3" s="1"/>
  <c r="K31" i="4"/>
  <c r="K33" i="3" s="1"/>
  <c r="I29" i="4"/>
  <c r="I31" i="3" s="1"/>
  <c r="C30" i="4"/>
  <c r="B31" i="3"/>
  <c r="R29" i="4"/>
  <c r="T29" i="4" s="1"/>
  <c r="H31" i="3" s="1"/>
  <c r="J29" i="4"/>
  <c r="E52" i="4"/>
  <c r="F52" i="4" s="1"/>
  <c r="D53" i="4"/>
  <c r="S53" i="4" s="1"/>
  <c r="E29" i="4"/>
  <c r="F29" i="4" s="1"/>
  <c r="S28" i="4"/>
  <c r="C32" i="3"/>
  <c r="D31" i="3"/>
  <c r="E31" i="3" s="1"/>
  <c r="G27" i="4"/>
  <c r="V27" i="4" s="1"/>
  <c r="H27" i="4"/>
  <c r="M27" i="4" s="1"/>
  <c r="T30" i="3" l="1"/>
  <c r="J30" i="4"/>
  <c r="J32" i="3" s="1"/>
  <c r="J31" i="3"/>
  <c r="W29" i="4"/>
  <c r="F31" i="3" s="1"/>
  <c r="X28" i="4"/>
  <c r="Y28" i="4"/>
  <c r="U29" i="4"/>
  <c r="G31" i="3" s="1"/>
  <c r="I30" i="4"/>
  <c r="I32" i="3" s="1"/>
  <c r="L31" i="4"/>
  <c r="L33" i="3" s="1"/>
  <c r="K32" i="4"/>
  <c r="K34" i="3" s="1"/>
  <c r="C31" i="4"/>
  <c r="R30" i="4"/>
  <c r="T30" i="4" s="1"/>
  <c r="H32" i="3" s="1"/>
  <c r="B32" i="3"/>
  <c r="E53" i="4"/>
  <c r="F53" i="4" s="1"/>
  <c r="D54" i="4"/>
  <c r="S54" i="4" s="1"/>
  <c r="E30" i="4"/>
  <c r="F30" i="4" s="1"/>
  <c r="S29" i="4"/>
  <c r="C33" i="3"/>
  <c r="D32" i="3"/>
  <c r="E32" i="3" s="1"/>
  <c r="G28" i="4"/>
  <c r="V28" i="4" s="1"/>
  <c r="H28" i="4"/>
  <c r="M28" i="4" s="1"/>
  <c r="T31" i="3" l="1"/>
  <c r="W30" i="4"/>
  <c r="F32" i="3" s="1"/>
  <c r="Y29" i="4"/>
  <c r="X29" i="4"/>
  <c r="C32" i="4"/>
  <c r="R31" i="4"/>
  <c r="T31" i="4" s="1"/>
  <c r="H33" i="3" s="1"/>
  <c r="B33" i="3"/>
  <c r="I31" i="4"/>
  <c r="I33" i="3" s="1"/>
  <c r="U30" i="4"/>
  <c r="K33" i="4"/>
  <c r="K35" i="3" s="1"/>
  <c r="L32" i="4"/>
  <c r="L34" i="3" s="1"/>
  <c r="J31" i="4"/>
  <c r="J33" i="3" s="1"/>
  <c r="E54" i="4"/>
  <c r="F54" i="4" s="1"/>
  <c r="D55" i="4"/>
  <c r="S55" i="4" s="1"/>
  <c r="E31" i="4"/>
  <c r="F31" i="4" s="1"/>
  <c r="S30" i="4"/>
  <c r="C34" i="3"/>
  <c r="D33" i="3"/>
  <c r="E33" i="3" s="1"/>
  <c r="G29" i="4"/>
  <c r="V29" i="4" s="1"/>
  <c r="H29" i="4"/>
  <c r="M29" i="4" s="1"/>
  <c r="U31" i="4" l="1"/>
  <c r="G33" i="3" s="1"/>
  <c r="G32" i="3"/>
  <c r="T32" i="3" s="1"/>
  <c r="W31" i="4"/>
  <c r="F33" i="3" s="1"/>
  <c r="X30" i="4"/>
  <c r="Y30" i="4"/>
  <c r="J32" i="4"/>
  <c r="J34" i="3" s="1"/>
  <c r="L33" i="4"/>
  <c r="L35" i="3" s="1"/>
  <c r="N35" i="3" s="1"/>
  <c r="N34" i="3" s="1"/>
  <c r="N33" i="3" s="1"/>
  <c r="N32" i="3" s="1"/>
  <c r="N31" i="3" s="1"/>
  <c r="N30" i="3" s="1"/>
  <c r="N29" i="3" s="1"/>
  <c r="N28" i="3" s="1"/>
  <c r="N27" i="3" s="1"/>
  <c r="N26" i="3" s="1"/>
  <c r="N25" i="3" s="1"/>
  <c r="N24" i="3" s="1"/>
  <c r="N23" i="3" s="1"/>
  <c r="N22" i="3" s="1"/>
  <c r="N21" i="3" s="1"/>
  <c r="N20" i="3" s="1"/>
  <c r="N19" i="3" s="1"/>
  <c r="N18" i="3" s="1"/>
  <c r="N17" i="3" s="1"/>
  <c r="N16" i="3" s="1"/>
  <c r="N15" i="3" s="1"/>
  <c r="N14" i="3" s="1"/>
  <c r="N13" i="3" s="1"/>
  <c r="N12" i="3" s="1"/>
  <c r="N11" i="3" s="1"/>
  <c r="K34" i="4"/>
  <c r="K36" i="3" s="1"/>
  <c r="I32" i="4"/>
  <c r="I34" i="3" s="1"/>
  <c r="C33" i="4"/>
  <c r="R32" i="4"/>
  <c r="T32" i="4" s="1"/>
  <c r="H34" i="3" s="1"/>
  <c r="B34" i="3"/>
  <c r="E55" i="4"/>
  <c r="F55" i="4" s="1"/>
  <c r="D56" i="4"/>
  <c r="S56" i="4" s="1"/>
  <c r="E32" i="4"/>
  <c r="F32" i="4" s="1"/>
  <c r="S31" i="4"/>
  <c r="C35" i="3"/>
  <c r="D34" i="3"/>
  <c r="E34" i="3" s="1"/>
  <c r="G30" i="4"/>
  <c r="V30" i="4" s="1"/>
  <c r="H30" i="4"/>
  <c r="M30" i="4" s="1"/>
  <c r="T33" i="3" l="1"/>
  <c r="D35" i="3"/>
  <c r="E35" i="3" s="1"/>
  <c r="C36" i="3"/>
  <c r="W32" i="4"/>
  <c r="F34" i="3" s="1"/>
  <c r="Y31" i="4"/>
  <c r="X31" i="4"/>
  <c r="R33" i="4"/>
  <c r="T33" i="4" s="1"/>
  <c r="H35" i="3" s="1"/>
  <c r="C34" i="4"/>
  <c r="B35" i="3"/>
  <c r="K35" i="4"/>
  <c r="K37" i="3" s="1"/>
  <c r="L34" i="4"/>
  <c r="L36" i="3" s="1"/>
  <c r="U32" i="4"/>
  <c r="I33" i="4"/>
  <c r="I35" i="3" s="1"/>
  <c r="J33" i="4"/>
  <c r="J35" i="3" s="1"/>
  <c r="E56" i="4"/>
  <c r="F56" i="4" s="1"/>
  <c r="D57" i="4"/>
  <c r="S57" i="4" s="1"/>
  <c r="S32" i="4"/>
  <c r="G31" i="4"/>
  <c r="V31" i="4" s="1"/>
  <c r="H31" i="4"/>
  <c r="M31" i="4" s="1"/>
  <c r="U33" i="4" l="1"/>
  <c r="G35" i="3" s="1"/>
  <c r="G34" i="3"/>
  <c r="T34" i="3" s="1"/>
  <c r="C37" i="3"/>
  <c r="D36" i="3"/>
  <c r="E36" i="3" s="1"/>
  <c r="W33" i="4"/>
  <c r="F35" i="3" s="1"/>
  <c r="X32" i="4"/>
  <c r="Y32" i="4"/>
  <c r="L35" i="4"/>
  <c r="L37" i="3" s="1"/>
  <c r="K36" i="4"/>
  <c r="K38" i="3" s="1"/>
  <c r="C35" i="4"/>
  <c r="I34" i="4"/>
  <c r="I36" i="3" s="1"/>
  <c r="J34" i="4"/>
  <c r="J36" i="3" s="1"/>
  <c r="R34" i="4"/>
  <c r="E57" i="4"/>
  <c r="F57" i="4" s="1"/>
  <c r="D58" i="4"/>
  <c r="S58" i="4" s="1"/>
  <c r="E33" i="4"/>
  <c r="F33" i="4" s="1"/>
  <c r="F34" i="4"/>
  <c r="S33" i="4"/>
  <c r="G32" i="4"/>
  <c r="V32" i="4" s="1"/>
  <c r="H32" i="4"/>
  <c r="M32" i="4" s="1"/>
  <c r="T35" i="3" l="1"/>
  <c r="C38" i="3"/>
  <c r="D37" i="3"/>
  <c r="E37" i="3" s="1"/>
  <c r="W34" i="4"/>
  <c r="F36" i="3" s="1"/>
  <c r="Y33" i="4"/>
  <c r="X33" i="4"/>
  <c r="C36" i="4"/>
  <c r="I35" i="4"/>
  <c r="I37" i="3" s="1"/>
  <c r="J35" i="4"/>
  <c r="J37" i="3" s="1"/>
  <c r="R35" i="4"/>
  <c r="U34" i="4"/>
  <c r="G36" i="3" s="1"/>
  <c r="T34" i="4"/>
  <c r="H36" i="3" s="1"/>
  <c r="K37" i="4"/>
  <c r="K39" i="3" s="1"/>
  <c r="L36" i="4"/>
  <c r="L38" i="3" s="1"/>
  <c r="E58" i="4"/>
  <c r="F58" i="4" s="1"/>
  <c r="F35" i="4"/>
  <c r="G33" i="4"/>
  <c r="H33" i="4"/>
  <c r="M33" i="4" s="1"/>
  <c r="C39" i="3" l="1"/>
  <c r="D38" i="3"/>
  <c r="E38" i="3" s="1"/>
  <c r="W35" i="4"/>
  <c r="F37" i="3" s="1"/>
  <c r="U35" i="4"/>
  <c r="G37" i="3" s="1"/>
  <c r="T35" i="4"/>
  <c r="H37" i="3" s="1"/>
  <c r="K38" i="4"/>
  <c r="K40" i="3" s="1"/>
  <c r="L37" i="4"/>
  <c r="L39" i="3" s="1"/>
  <c r="C37" i="4"/>
  <c r="R36" i="4"/>
  <c r="I36" i="4"/>
  <c r="I38" i="3" s="1"/>
  <c r="J36" i="4"/>
  <c r="J38" i="3" s="1"/>
  <c r="V33" i="4"/>
  <c r="H34" i="4"/>
  <c r="M34" i="4" s="1"/>
  <c r="G34" i="4"/>
  <c r="V34" i="4" s="1"/>
  <c r="F36" i="4"/>
  <c r="C40" i="3" l="1"/>
  <c r="D39" i="3"/>
  <c r="E39" i="3" s="1"/>
  <c r="W36" i="4"/>
  <c r="F38" i="3" s="1"/>
  <c r="X35" i="4"/>
  <c r="Y35" i="4"/>
  <c r="X34" i="4"/>
  <c r="Y34" i="4"/>
  <c r="Y60" i="4" s="1"/>
  <c r="U36" i="4"/>
  <c r="G38" i="3" s="1"/>
  <c r="T36" i="4"/>
  <c r="H38" i="3" s="1"/>
  <c r="C38" i="4"/>
  <c r="I37" i="4"/>
  <c r="I39" i="3" s="1"/>
  <c r="R37" i="4"/>
  <c r="J37" i="4"/>
  <c r="J39" i="3" s="1"/>
  <c r="L38" i="4"/>
  <c r="L40" i="3" s="1"/>
  <c r="K39" i="4"/>
  <c r="K41" i="3" s="1"/>
  <c r="G35" i="4"/>
  <c r="V35" i="4" s="1"/>
  <c r="H35" i="4"/>
  <c r="M35" i="4" s="1"/>
  <c r="F37" i="4"/>
  <c r="C41" i="3" l="1"/>
  <c r="D40" i="3"/>
  <c r="E40" i="3" s="1"/>
  <c r="W37" i="4"/>
  <c r="F39" i="3" s="1"/>
  <c r="X36" i="4"/>
  <c r="Y36" i="4"/>
  <c r="C39" i="4"/>
  <c r="R38" i="4"/>
  <c r="I38" i="4"/>
  <c r="I40" i="3" s="1"/>
  <c r="J38" i="4"/>
  <c r="J40" i="3" s="1"/>
  <c r="U37" i="4"/>
  <c r="G39" i="3" s="1"/>
  <c r="T37" i="4"/>
  <c r="H39" i="3" s="1"/>
  <c r="K40" i="4"/>
  <c r="K42" i="3" s="1"/>
  <c r="L39" i="4"/>
  <c r="L41" i="3" s="1"/>
  <c r="G36" i="4"/>
  <c r="V36" i="4" s="1"/>
  <c r="H36" i="4"/>
  <c r="M36" i="4" s="1"/>
  <c r="F38" i="4"/>
  <c r="C42" i="3" l="1"/>
  <c r="D41" i="3"/>
  <c r="E41" i="3" s="1"/>
  <c r="W38" i="4"/>
  <c r="F40" i="3" s="1"/>
  <c r="X37" i="4"/>
  <c r="Y37" i="4"/>
  <c r="K41" i="4"/>
  <c r="K43" i="3" s="1"/>
  <c r="L40" i="4"/>
  <c r="L42" i="3" s="1"/>
  <c r="U38" i="4"/>
  <c r="G40" i="3" s="1"/>
  <c r="T38" i="4"/>
  <c r="H40" i="3" s="1"/>
  <c r="C40" i="4"/>
  <c r="J39" i="4"/>
  <c r="J41" i="3" s="1"/>
  <c r="R39" i="4"/>
  <c r="I39" i="4"/>
  <c r="I41" i="3" s="1"/>
  <c r="G37" i="4"/>
  <c r="V37" i="4" s="1"/>
  <c r="H37" i="4"/>
  <c r="M37" i="4" s="1"/>
  <c r="F39" i="4"/>
  <c r="C43" i="3" l="1"/>
  <c r="D42" i="3"/>
  <c r="E42" i="3" s="1"/>
  <c r="W39" i="4"/>
  <c r="F41" i="3" s="1"/>
  <c r="Y38" i="4"/>
  <c r="X38" i="4"/>
  <c r="T39" i="4"/>
  <c r="H41" i="3" s="1"/>
  <c r="U39" i="4"/>
  <c r="G41" i="3" s="1"/>
  <c r="C41" i="4"/>
  <c r="J40" i="4"/>
  <c r="J42" i="3" s="1"/>
  <c r="I40" i="4"/>
  <c r="I42" i="3" s="1"/>
  <c r="R40" i="4"/>
  <c r="K42" i="4"/>
  <c r="K44" i="3" s="1"/>
  <c r="L41" i="4"/>
  <c r="L43" i="3" s="1"/>
  <c r="G38" i="4"/>
  <c r="V38" i="4" s="1"/>
  <c r="H38" i="4"/>
  <c r="M38" i="4" s="1"/>
  <c r="F40" i="4"/>
  <c r="C44" i="3" l="1"/>
  <c r="D43" i="3"/>
  <c r="E43" i="3" s="1"/>
  <c r="W40" i="4"/>
  <c r="F42" i="3" s="1"/>
  <c r="Y39" i="4"/>
  <c r="X39" i="4"/>
  <c r="L42" i="4"/>
  <c r="L44" i="3" s="1"/>
  <c r="K43" i="4"/>
  <c r="K45" i="3" s="1"/>
  <c r="T40" i="4"/>
  <c r="H42" i="3" s="1"/>
  <c r="U40" i="4"/>
  <c r="G42" i="3" s="1"/>
  <c r="C42" i="4"/>
  <c r="J41" i="4"/>
  <c r="J43" i="3" s="1"/>
  <c r="I41" i="4"/>
  <c r="I43" i="3" s="1"/>
  <c r="R41" i="4"/>
  <c r="G39" i="4"/>
  <c r="V39" i="4" s="1"/>
  <c r="H39" i="4"/>
  <c r="M39" i="4" s="1"/>
  <c r="F41" i="4"/>
  <c r="C45" i="3" l="1"/>
  <c r="D44" i="3"/>
  <c r="E44" i="3" s="1"/>
  <c r="W41" i="4"/>
  <c r="F43" i="3" s="1"/>
  <c r="X40" i="4"/>
  <c r="Y40" i="4"/>
  <c r="U41" i="4"/>
  <c r="G43" i="3" s="1"/>
  <c r="T41" i="4"/>
  <c r="H43" i="3" s="1"/>
  <c r="C43" i="4"/>
  <c r="J42" i="4"/>
  <c r="J44" i="3" s="1"/>
  <c r="R42" i="4"/>
  <c r="I42" i="4"/>
  <c r="I44" i="3" s="1"/>
  <c r="L43" i="4"/>
  <c r="L45" i="3" s="1"/>
  <c r="K44" i="4"/>
  <c r="K46" i="3" s="1"/>
  <c r="G40" i="4"/>
  <c r="V40" i="4" s="1"/>
  <c r="H40" i="4"/>
  <c r="M40" i="4" s="1"/>
  <c r="F42" i="4"/>
  <c r="C46" i="3" l="1"/>
  <c r="D45" i="3"/>
  <c r="E45" i="3" s="1"/>
  <c r="W42" i="4"/>
  <c r="Y41" i="4"/>
  <c r="X41" i="4"/>
  <c r="C44" i="4"/>
  <c r="J43" i="4"/>
  <c r="J45" i="3" s="1"/>
  <c r="I43" i="4"/>
  <c r="I45" i="3" s="1"/>
  <c r="R43" i="4"/>
  <c r="K45" i="4"/>
  <c r="K47" i="3" s="1"/>
  <c r="L44" i="4"/>
  <c r="L46" i="3" s="1"/>
  <c r="T42" i="4"/>
  <c r="H44" i="3" s="1"/>
  <c r="U42" i="4"/>
  <c r="G44" i="3" s="1"/>
  <c r="G41" i="4"/>
  <c r="V41" i="4" s="1"/>
  <c r="H41" i="4"/>
  <c r="M41" i="4" s="1"/>
  <c r="F43" i="4"/>
  <c r="W43" i="4" l="1"/>
  <c r="F45" i="3" s="1"/>
  <c r="F44" i="3"/>
  <c r="C47" i="3"/>
  <c r="D46" i="3"/>
  <c r="E46" i="3" s="1"/>
  <c r="Y42" i="4"/>
  <c r="X42" i="4"/>
  <c r="K46" i="4"/>
  <c r="K48" i="3" s="1"/>
  <c r="L45" i="4"/>
  <c r="L47" i="3" s="1"/>
  <c r="T43" i="4"/>
  <c r="H45" i="3" s="1"/>
  <c r="U43" i="4"/>
  <c r="G45" i="3" s="1"/>
  <c r="C45" i="4"/>
  <c r="I44" i="4"/>
  <c r="I46" i="3" s="1"/>
  <c r="J44" i="4"/>
  <c r="J46" i="3" s="1"/>
  <c r="R44" i="4"/>
  <c r="W44" i="4" s="1"/>
  <c r="F46" i="3" s="1"/>
  <c r="G42" i="4"/>
  <c r="V42" i="4" s="1"/>
  <c r="H42" i="4"/>
  <c r="M42" i="4" s="1"/>
  <c r="F44" i="4"/>
  <c r="C48" i="3" l="1"/>
  <c r="D47" i="3"/>
  <c r="E47" i="3" s="1"/>
  <c r="Y43" i="4"/>
  <c r="X43" i="4"/>
  <c r="U44" i="4"/>
  <c r="G46" i="3" s="1"/>
  <c r="T44" i="4"/>
  <c r="H46" i="3" s="1"/>
  <c r="C46" i="4"/>
  <c r="I45" i="4"/>
  <c r="I47" i="3" s="1"/>
  <c r="R45" i="4"/>
  <c r="W45" i="4" s="1"/>
  <c r="F47" i="3" s="1"/>
  <c r="J45" i="4"/>
  <c r="J47" i="3" s="1"/>
  <c r="L46" i="4"/>
  <c r="L48" i="3" s="1"/>
  <c r="K47" i="4"/>
  <c r="K49" i="3" s="1"/>
  <c r="G43" i="4"/>
  <c r="V43" i="4" s="1"/>
  <c r="H43" i="4"/>
  <c r="M43" i="4" s="1"/>
  <c r="F45" i="4"/>
  <c r="C49" i="3" l="1"/>
  <c r="D48" i="3"/>
  <c r="E48" i="3" s="1"/>
  <c r="Y44" i="4"/>
  <c r="X44" i="4"/>
  <c r="K48" i="4"/>
  <c r="K50" i="3" s="1"/>
  <c r="L47" i="4"/>
  <c r="L49" i="3" s="1"/>
  <c r="U45" i="4"/>
  <c r="G47" i="3" s="1"/>
  <c r="T45" i="4"/>
  <c r="H47" i="3" s="1"/>
  <c r="C47" i="4"/>
  <c r="I46" i="4"/>
  <c r="I48" i="3" s="1"/>
  <c r="R46" i="4"/>
  <c r="W46" i="4" s="1"/>
  <c r="F48" i="3" s="1"/>
  <c r="J46" i="4"/>
  <c r="J48" i="3" s="1"/>
  <c r="G44" i="4"/>
  <c r="V44" i="4" s="1"/>
  <c r="H44" i="4"/>
  <c r="M44" i="4" s="1"/>
  <c r="F46" i="4"/>
  <c r="C50" i="3" l="1"/>
  <c r="D49" i="3"/>
  <c r="E49" i="3" s="1"/>
  <c r="W47" i="4"/>
  <c r="F49" i="3" s="1"/>
  <c r="Y45" i="4"/>
  <c r="X45" i="4"/>
  <c r="U46" i="4"/>
  <c r="G48" i="3" s="1"/>
  <c r="T46" i="4"/>
  <c r="H48" i="3" s="1"/>
  <c r="C48" i="4"/>
  <c r="I47" i="4"/>
  <c r="I49" i="3" s="1"/>
  <c r="J47" i="4"/>
  <c r="J49" i="3" s="1"/>
  <c r="R47" i="4"/>
  <c r="L48" i="4"/>
  <c r="L50" i="3" s="1"/>
  <c r="K49" i="4"/>
  <c r="K51" i="3" s="1"/>
  <c r="G45" i="4"/>
  <c r="V45" i="4" s="1"/>
  <c r="H45" i="4"/>
  <c r="M45" i="4" s="1"/>
  <c r="F47" i="4"/>
  <c r="F48" i="4"/>
  <c r="C51" i="3" l="1"/>
  <c r="D50" i="3"/>
  <c r="E50" i="3" s="1"/>
  <c r="Y46" i="4"/>
  <c r="X46" i="4"/>
  <c r="U47" i="4"/>
  <c r="G49" i="3" s="1"/>
  <c r="T47" i="4"/>
  <c r="H49" i="3" s="1"/>
  <c r="K50" i="4"/>
  <c r="K52" i="3" s="1"/>
  <c r="L49" i="4"/>
  <c r="L51" i="3" s="1"/>
  <c r="C49" i="4"/>
  <c r="R48" i="4"/>
  <c r="W48" i="4" s="1"/>
  <c r="F50" i="3" s="1"/>
  <c r="J48" i="4"/>
  <c r="J50" i="3" s="1"/>
  <c r="I48" i="4"/>
  <c r="I50" i="3" s="1"/>
  <c r="G46" i="4"/>
  <c r="V46" i="4" s="1"/>
  <c r="H46" i="4"/>
  <c r="M46" i="4" s="1"/>
  <c r="M50" i="3" l="1"/>
  <c r="M49" i="3" s="1"/>
  <c r="C52" i="3"/>
  <c r="D51" i="3"/>
  <c r="E51" i="3" s="1"/>
  <c r="X47" i="4"/>
  <c r="Y47" i="4"/>
  <c r="T48" i="4"/>
  <c r="H50" i="3" s="1"/>
  <c r="U48" i="4"/>
  <c r="G50" i="3" s="1"/>
  <c r="O50" i="3" s="1"/>
  <c r="C50" i="4"/>
  <c r="R49" i="4"/>
  <c r="W49" i="4" s="1"/>
  <c r="F51" i="3" s="1"/>
  <c r="I49" i="4"/>
  <c r="I51" i="3" s="1"/>
  <c r="J49" i="4"/>
  <c r="J51" i="3" s="1"/>
  <c r="L50" i="4"/>
  <c r="L52" i="3" s="1"/>
  <c r="K51" i="4"/>
  <c r="K53" i="3" s="1"/>
  <c r="G47" i="4"/>
  <c r="V47" i="4" s="1"/>
  <c r="H47" i="4"/>
  <c r="M47" i="4" s="1"/>
  <c r="Q50" i="3" l="1"/>
  <c r="P50" i="3"/>
  <c r="O49" i="3"/>
  <c r="P49" i="3"/>
  <c r="P48" i="3"/>
  <c r="O48" i="3"/>
  <c r="M48" i="3"/>
  <c r="Q49" i="3"/>
  <c r="R49" i="3" s="1"/>
  <c r="S48" i="3" s="1"/>
  <c r="V48" i="3" s="1"/>
  <c r="R50" i="3"/>
  <c r="S49" i="3" s="1"/>
  <c r="V49" i="3" s="1"/>
  <c r="Q51" i="3"/>
  <c r="C53" i="3"/>
  <c r="D52" i="3"/>
  <c r="E52" i="3" s="1"/>
  <c r="X48" i="4"/>
  <c r="Y48" i="4"/>
  <c r="K52" i="4"/>
  <c r="K54" i="3" s="1"/>
  <c r="L51" i="4"/>
  <c r="L53" i="3" s="1"/>
  <c r="T49" i="4"/>
  <c r="H51" i="3" s="1"/>
  <c r="P51" i="3" s="1"/>
  <c r="U49" i="4"/>
  <c r="G51" i="3" s="1"/>
  <c r="O51" i="3" s="1"/>
  <c r="C51" i="4"/>
  <c r="R50" i="4"/>
  <c r="W50" i="4" s="1"/>
  <c r="F52" i="3" s="1"/>
  <c r="I50" i="4"/>
  <c r="I52" i="3" s="1"/>
  <c r="J50" i="4"/>
  <c r="J52" i="3" s="1"/>
  <c r="G48" i="4"/>
  <c r="V48" i="4" s="1"/>
  <c r="H48" i="4"/>
  <c r="M48" i="4" s="1"/>
  <c r="M47" i="3" l="1"/>
  <c r="Q48" i="3"/>
  <c r="R48" i="3" s="1"/>
  <c r="S47" i="3" s="1"/>
  <c r="V47" i="3" s="1"/>
  <c r="P47" i="3"/>
  <c r="O47" i="3"/>
  <c r="R51" i="3"/>
  <c r="S50" i="3" s="1"/>
  <c r="V50" i="3" s="1"/>
  <c r="Q52" i="3"/>
  <c r="C54" i="3"/>
  <c r="D53" i="3"/>
  <c r="E53" i="3" s="1"/>
  <c r="X49" i="4"/>
  <c r="Y49" i="4"/>
  <c r="C52" i="4"/>
  <c r="J51" i="4"/>
  <c r="J53" i="3" s="1"/>
  <c r="R51" i="4"/>
  <c r="W51" i="4" s="1"/>
  <c r="F53" i="3" s="1"/>
  <c r="I51" i="4"/>
  <c r="I53" i="3" s="1"/>
  <c r="U50" i="4"/>
  <c r="G52" i="3" s="1"/>
  <c r="O52" i="3" s="1"/>
  <c r="T50" i="4"/>
  <c r="H52" i="3" s="1"/>
  <c r="P52" i="3" s="1"/>
  <c r="K53" i="4"/>
  <c r="K55" i="3" s="1"/>
  <c r="L52" i="4"/>
  <c r="L54" i="3" s="1"/>
  <c r="G49" i="4"/>
  <c r="V49" i="4" s="1"/>
  <c r="H49" i="4"/>
  <c r="M49" i="4" s="1"/>
  <c r="P46" i="3" l="1"/>
  <c r="O46" i="3"/>
  <c r="M46" i="3"/>
  <c r="Q47" i="3"/>
  <c r="R47" i="3" s="1"/>
  <c r="S46" i="3" s="1"/>
  <c r="V46" i="3" s="1"/>
  <c r="R52" i="3"/>
  <c r="S51" i="3" s="1"/>
  <c r="V51" i="3" s="1"/>
  <c r="Q53" i="3"/>
  <c r="C55" i="3"/>
  <c r="D54" i="3"/>
  <c r="E54" i="3" s="1"/>
  <c r="X50" i="4"/>
  <c r="Y50" i="4"/>
  <c r="T51" i="4"/>
  <c r="H53" i="3" s="1"/>
  <c r="P53" i="3" s="1"/>
  <c r="U51" i="4"/>
  <c r="G53" i="3" s="1"/>
  <c r="O53" i="3" s="1"/>
  <c r="K54" i="4"/>
  <c r="K56" i="3" s="1"/>
  <c r="L53" i="4"/>
  <c r="L55" i="3" s="1"/>
  <c r="C53" i="4"/>
  <c r="J52" i="4"/>
  <c r="J54" i="3" s="1"/>
  <c r="I52" i="4"/>
  <c r="I54" i="3" s="1"/>
  <c r="R52" i="4"/>
  <c r="W52" i="4" s="1"/>
  <c r="F54" i="3" s="1"/>
  <c r="G50" i="4"/>
  <c r="V50" i="4" s="1"/>
  <c r="H50" i="4"/>
  <c r="M50" i="4" s="1"/>
  <c r="M45" i="3" l="1"/>
  <c r="Q46" i="3"/>
  <c r="R46" i="3" s="1"/>
  <c r="S45" i="3" s="1"/>
  <c r="V45" i="3" s="1"/>
  <c r="O45" i="3"/>
  <c r="P45" i="3"/>
  <c r="R53" i="3"/>
  <c r="S52" i="3" s="1"/>
  <c r="V52" i="3" s="1"/>
  <c r="Q54" i="3"/>
  <c r="C56" i="3"/>
  <c r="D55" i="3"/>
  <c r="E55" i="3" s="1"/>
  <c r="Y51" i="4"/>
  <c r="X51" i="4"/>
  <c r="T52" i="4"/>
  <c r="H54" i="3" s="1"/>
  <c r="P54" i="3" s="1"/>
  <c r="U52" i="4"/>
  <c r="G54" i="3" s="1"/>
  <c r="O54" i="3" s="1"/>
  <c r="C54" i="4"/>
  <c r="J53" i="4"/>
  <c r="J55" i="3" s="1"/>
  <c r="I53" i="4"/>
  <c r="I55" i="3" s="1"/>
  <c r="R53" i="4"/>
  <c r="W53" i="4" s="1"/>
  <c r="F55" i="3" s="1"/>
  <c r="K55" i="4"/>
  <c r="K57" i="3" s="1"/>
  <c r="L54" i="4"/>
  <c r="L56" i="3" s="1"/>
  <c r="G51" i="4"/>
  <c r="V51" i="4" s="1"/>
  <c r="H51" i="4"/>
  <c r="M51" i="4" s="1"/>
  <c r="P44" i="3" l="1"/>
  <c r="O44" i="3"/>
  <c r="M44" i="3"/>
  <c r="Q45" i="3"/>
  <c r="R45" i="3" s="1"/>
  <c r="S44" i="3" s="1"/>
  <c r="V44" i="3" s="1"/>
  <c r="R54" i="3"/>
  <c r="S53" i="3" s="1"/>
  <c r="V53" i="3" s="1"/>
  <c r="Q55" i="3"/>
  <c r="C57" i="3"/>
  <c r="D56" i="3"/>
  <c r="E56" i="3" s="1"/>
  <c r="Y52" i="4"/>
  <c r="X52" i="4"/>
  <c r="T53" i="4"/>
  <c r="H55" i="3" s="1"/>
  <c r="P55" i="3" s="1"/>
  <c r="U53" i="4"/>
  <c r="G55" i="3" s="1"/>
  <c r="O55" i="3" s="1"/>
  <c r="K56" i="4"/>
  <c r="K58" i="3" s="1"/>
  <c r="L55" i="4"/>
  <c r="L57" i="3" s="1"/>
  <c r="C55" i="4"/>
  <c r="R54" i="4"/>
  <c r="W54" i="4" s="1"/>
  <c r="F56" i="3" s="1"/>
  <c r="J54" i="4"/>
  <c r="J56" i="3" s="1"/>
  <c r="I54" i="4"/>
  <c r="I56" i="3" s="1"/>
  <c r="G52" i="4"/>
  <c r="V52" i="4" s="1"/>
  <c r="H52" i="4"/>
  <c r="M52" i="4" s="1"/>
  <c r="M43" i="3" l="1"/>
  <c r="Q44" i="3"/>
  <c r="R44" i="3" s="1"/>
  <c r="S43" i="3" s="1"/>
  <c r="V43" i="3" s="1"/>
  <c r="P43" i="3"/>
  <c r="O43" i="3"/>
  <c r="R55" i="3"/>
  <c r="S54" i="3" s="1"/>
  <c r="V54" i="3" s="1"/>
  <c r="Q56" i="3"/>
  <c r="C58" i="3"/>
  <c r="D57" i="3"/>
  <c r="E57" i="3" s="1"/>
  <c r="X53" i="4"/>
  <c r="Y53" i="4"/>
  <c r="U54" i="4"/>
  <c r="G56" i="3" s="1"/>
  <c r="O56" i="3" s="1"/>
  <c r="T54" i="4"/>
  <c r="H56" i="3" s="1"/>
  <c r="P56" i="3" s="1"/>
  <c r="C56" i="4"/>
  <c r="J55" i="4"/>
  <c r="J57" i="3" s="1"/>
  <c r="I55" i="4"/>
  <c r="I57" i="3" s="1"/>
  <c r="R55" i="4"/>
  <c r="W55" i="4" s="1"/>
  <c r="F57" i="3" s="1"/>
  <c r="L56" i="4"/>
  <c r="L58" i="3" s="1"/>
  <c r="K57" i="4"/>
  <c r="K59" i="3" s="1"/>
  <c r="G53" i="4"/>
  <c r="V53" i="4" s="1"/>
  <c r="H53" i="4"/>
  <c r="M53" i="4" s="1"/>
  <c r="P42" i="3" l="1"/>
  <c r="O42" i="3"/>
  <c r="M42" i="3"/>
  <c r="Q43" i="3"/>
  <c r="R43" i="3" s="1"/>
  <c r="S42" i="3" s="1"/>
  <c r="V42" i="3" s="1"/>
  <c r="R56" i="3"/>
  <c r="S55" i="3" s="1"/>
  <c r="V55" i="3" s="1"/>
  <c r="Q57" i="3"/>
  <c r="C59" i="3"/>
  <c r="D58" i="3"/>
  <c r="E58" i="3" s="1"/>
  <c r="X54" i="4"/>
  <c r="Y54" i="4"/>
  <c r="K58" i="4"/>
  <c r="L57" i="4"/>
  <c r="L59" i="3" s="1"/>
  <c r="C57" i="4"/>
  <c r="J56" i="4"/>
  <c r="J58" i="3" s="1"/>
  <c r="I56" i="4"/>
  <c r="I58" i="3" s="1"/>
  <c r="R56" i="4"/>
  <c r="W56" i="4" s="1"/>
  <c r="F58" i="3" s="1"/>
  <c r="T55" i="4"/>
  <c r="H57" i="3" s="1"/>
  <c r="P57" i="3" s="1"/>
  <c r="U55" i="4"/>
  <c r="G57" i="3" s="1"/>
  <c r="O57" i="3" s="1"/>
  <c r="G54" i="4"/>
  <c r="V54" i="4" s="1"/>
  <c r="H54" i="4"/>
  <c r="M54" i="4" s="1"/>
  <c r="L58" i="4" l="1"/>
  <c r="L60" i="3" s="1"/>
  <c r="K60" i="3"/>
  <c r="M41" i="3"/>
  <c r="Q42" i="3"/>
  <c r="R42" i="3" s="1"/>
  <c r="S41" i="3" s="1"/>
  <c r="V41" i="3" s="1"/>
  <c r="P41" i="3"/>
  <c r="O41" i="3"/>
  <c r="R57" i="3"/>
  <c r="S56" i="3" s="1"/>
  <c r="V56" i="3" s="1"/>
  <c r="Q58" i="3"/>
  <c r="C60" i="3"/>
  <c r="D60" i="3" s="1"/>
  <c r="E60" i="3" s="1"/>
  <c r="D59" i="3"/>
  <c r="E59" i="3" s="1"/>
  <c r="X55" i="4"/>
  <c r="Y55" i="4"/>
  <c r="U56" i="4"/>
  <c r="G58" i="3" s="1"/>
  <c r="O58" i="3" s="1"/>
  <c r="T56" i="4"/>
  <c r="H58" i="3" s="1"/>
  <c r="P58" i="3" s="1"/>
  <c r="C58" i="4"/>
  <c r="R57" i="4"/>
  <c r="W57" i="4" s="1"/>
  <c r="F59" i="3" s="1"/>
  <c r="J57" i="4"/>
  <c r="J59" i="3" s="1"/>
  <c r="I57" i="4"/>
  <c r="I59" i="3" s="1"/>
  <c r="G55" i="4"/>
  <c r="V55" i="4" s="1"/>
  <c r="H55" i="4"/>
  <c r="M55" i="4" s="1"/>
  <c r="P40" i="3" l="1"/>
  <c r="O40" i="3"/>
  <c r="M40" i="3"/>
  <c r="Q41" i="3"/>
  <c r="R41" i="3" s="1"/>
  <c r="S40" i="3" s="1"/>
  <c r="V40" i="3" s="1"/>
  <c r="R58" i="3"/>
  <c r="S57" i="3" s="1"/>
  <c r="V57" i="3" s="1"/>
  <c r="Q59" i="3"/>
  <c r="Y56" i="4"/>
  <c r="X56" i="4"/>
  <c r="U57" i="4"/>
  <c r="G59" i="3" s="1"/>
  <c r="O59" i="3" s="1"/>
  <c r="T57" i="4"/>
  <c r="H59" i="3" s="1"/>
  <c r="P59" i="3" s="1"/>
  <c r="R58" i="4"/>
  <c r="W58" i="4" s="1"/>
  <c r="F60" i="3" s="1"/>
  <c r="J58" i="4"/>
  <c r="J60" i="3" s="1"/>
  <c r="I58" i="4"/>
  <c r="I60" i="3" s="1"/>
  <c r="G56" i="4"/>
  <c r="V56" i="4" s="1"/>
  <c r="H56" i="4"/>
  <c r="M56" i="4" s="1"/>
  <c r="P39" i="3" l="1"/>
  <c r="O39" i="3"/>
  <c r="M39" i="3"/>
  <c r="Q40" i="3"/>
  <c r="R40" i="3" s="1"/>
  <c r="S39" i="3" s="1"/>
  <c r="V39" i="3" s="1"/>
  <c r="R59" i="3"/>
  <c r="S58" i="3" s="1"/>
  <c r="V58" i="3" s="1"/>
  <c r="Q60" i="3"/>
  <c r="Y57" i="4"/>
  <c r="X57" i="4"/>
  <c r="U58" i="4"/>
  <c r="G60" i="3" s="1"/>
  <c r="O60" i="3" s="1"/>
  <c r="T58" i="4"/>
  <c r="H60" i="3" s="1"/>
  <c r="P60" i="3" s="1"/>
  <c r="G57" i="4"/>
  <c r="V57" i="4" s="1"/>
  <c r="H57" i="4"/>
  <c r="M57" i="4" s="1"/>
  <c r="M38" i="3" l="1"/>
  <c r="Q39" i="3"/>
  <c r="R39" i="3" s="1"/>
  <c r="S38" i="3" s="1"/>
  <c r="V38" i="3" s="1"/>
  <c r="P38" i="3"/>
  <c r="O38" i="3"/>
  <c r="R60" i="3"/>
  <c r="S59" i="3" s="1"/>
  <c r="V59" i="3" s="1"/>
  <c r="Y58" i="4"/>
  <c r="X58" i="4"/>
  <c r="X60" i="4" s="1"/>
  <c r="G58" i="4"/>
  <c r="V58" i="4" s="1"/>
  <c r="H58" i="4"/>
  <c r="M58" i="4" s="1"/>
  <c r="M60" i="4" s="1"/>
  <c r="P37" i="3" l="1"/>
  <c r="O37" i="3"/>
  <c r="M37" i="3"/>
  <c r="Q38" i="3"/>
  <c r="R38" i="3" s="1"/>
  <c r="S37" i="3" s="1"/>
  <c r="V37" i="3" s="1"/>
  <c r="Y4" i="4"/>
  <c r="M36" i="3" l="1"/>
  <c r="Q37" i="3"/>
  <c r="R37" i="3" s="1"/>
  <c r="S36" i="3" s="1"/>
  <c r="V36" i="3" s="1"/>
  <c r="P36" i="3"/>
  <c r="O36" i="3"/>
  <c r="P35" i="3" l="1"/>
  <c r="O35" i="3"/>
  <c r="M35" i="3"/>
  <c r="Q36" i="3"/>
  <c r="R36" i="3" s="1"/>
  <c r="S35" i="3" s="1"/>
  <c r="V35" i="3" s="1"/>
  <c r="W35" i="3" s="1"/>
  <c r="M34" i="3" l="1"/>
  <c r="Q35" i="3"/>
  <c r="R35" i="3" s="1"/>
  <c r="S34" i="3" s="1"/>
  <c r="V34" i="3" s="1"/>
  <c r="W34" i="3" s="1"/>
  <c r="O34" i="3"/>
  <c r="P34" i="3"/>
  <c r="P33" i="3" l="1"/>
  <c r="O33" i="3"/>
  <c r="Q34" i="3"/>
  <c r="R34" i="3" s="1"/>
  <c r="S33" i="3" s="1"/>
  <c r="V33" i="3" s="1"/>
  <c r="W33" i="3" s="1"/>
  <c r="M33" i="3"/>
  <c r="Q33" i="3" l="1"/>
  <c r="R33" i="3" s="1"/>
  <c r="S32" i="3" s="1"/>
  <c r="V32" i="3" s="1"/>
  <c r="W32" i="3" s="1"/>
  <c r="M32" i="3"/>
  <c r="P32" i="3"/>
  <c r="O32" i="3"/>
  <c r="P31" i="3" l="1"/>
  <c r="O31" i="3"/>
  <c r="Q32" i="3"/>
  <c r="R32" i="3" s="1"/>
  <c r="S31" i="3" s="1"/>
  <c r="V31" i="3" s="1"/>
  <c r="W31" i="3" s="1"/>
  <c r="M31" i="3"/>
  <c r="M30" i="3" l="1"/>
  <c r="Q31" i="3"/>
  <c r="R31" i="3" s="1"/>
  <c r="S30" i="3" s="1"/>
  <c r="V30" i="3" s="1"/>
  <c r="W30" i="3" s="1"/>
  <c r="P30" i="3"/>
  <c r="O30" i="3"/>
  <c r="P29" i="3" l="1"/>
  <c r="O29" i="3"/>
  <c r="Q30" i="3"/>
  <c r="R30" i="3" s="1"/>
  <c r="S29" i="3" s="1"/>
  <c r="V29" i="3" s="1"/>
  <c r="W29" i="3" s="1"/>
  <c r="M29" i="3"/>
  <c r="M28" i="3" l="1"/>
  <c r="Q29" i="3"/>
  <c r="R29" i="3" s="1"/>
  <c r="S28" i="3" s="1"/>
  <c r="V28" i="3" s="1"/>
  <c r="W28" i="3" s="1"/>
  <c r="P28" i="3"/>
  <c r="O28" i="3"/>
  <c r="P27" i="3" l="1"/>
  <c r="O27" i="3"/>
  <c r="Q28" i="3"/>
  <c r="R28" i="3" s="1"/>
  <c r="S27" i="3" s="1"/>
  <c r="V27" i="3" s="1"/>
  <c r="W27" i="3" s="1"/>
  <c r="M27" i="3"/>
  <c r="Q27" i="3" l="1"/>
  <c r="R27" i="3" s="1"/>
  <c r="S26" i="3" s="1"/>
  <c r="V26" i="3" s="1"/>
  <c r="W26" i="3" s="1"/>
  <c r="M26" i="3"/>
  <c r="P26" i="3"/>
  <c r="O26" i="3"/>
  <c r="P25" i="3" l="1"/>
  <c r="O25" i="3"/>
  <c r="Q26" i="3"/>
  <c r="R26" i="3" s="1"/>
  <c r="S25" i="3" s="1"/>
  <c r="V25" i="3" s="1"/>
  <c r="W25" i="3" s="1"/>
  <c r="M25" i="3"/>
  <c r="M24" i="3" l="1"/>
  <c r="Q25" i="3"/>
  <c r="R25" i="3" s="1"/>
  <c r="S24" i="3" s="1"/>
  <c r="V24" i="3" s="1"/>
  <c r="W24" i="3" s="1"/>
  <c r="P24" i="3"/>
  <c r="O24" i="3"/>
  <c r="O23" i="3" l="1"/>
  <c r="P23" i="3"/>
  <c r="M23" i="3"/>
  <c r="Q24" i="3"/>
  <c r="R24" i="3" s="1"/>
  <c r="S23" i="3" s="1"/>
  <c r="V23" i="3" s="1"/>
  <c r="W23" i="3" s="1"/>
  <c r="M22" i="3" l="1"/>
  <c r="Q23" i="3"/>
  <c r="R23" i="3" s="1"/>
  <c r="S22" i="3" s="1"/>
  <c r="V22" i="3" s="1"/>
  <c r="W22" i="3" s="1"/>
  <c r="P22" i="3"/>
  <c r="O22" i="3"/>
  <c r="Q22" i="3" l="1"/>
  <c r="M21" i="3"/>
  <c r="R22" i="3"/>
  <c r="S21" i="3" s="1"/>
  <c r="V21" i="3" s="1"/>
  <c r="W21" i="3" s="1"/>
  <c r="P21" i="3"/>
  <c r="O21" i="3"/>
  <c r="O20" i="3" l="1"/>
  <c r="P20" i="3"/>
  <c r="M20" i="3"/>
  <c r="Q21" i="3"/>
  <c r="R21" i="3" s="1"/>
  <c r="S20" i="3" s="1"/>
  <c r="V20" i="3" s="1"/>
  <c r="W20" i="3" s="1"/>
  <c r="M19" i="3" l="1"/>
  <c r="Q20" i="3"/>
  <c r="R20" i="3" s="1"/>
  <c r="S19" i="3" s="1"/>
  <c r="V19" i="3" s="1"/>
  <c r="W19" i="3" s="1"/>
  <c r="P19" i="3"/>
  <c r="O19" i="3"/>
  <c r="O18" i="3" l="1"/>
  <c r="P18" i="3"/>
  <c r="Q19" i="3"/>
  <c r="R19" i="3" s="1"/>
  <c r="S18" i="3" s="1"/>
  <c r="V18" i="3" s="1"/>
  <c r="W18" i="3" s="1"/>
  <c r="M18" i="3"/>
  <c r="Q18" i="3" l="1"/>
  <c r="R18" i="3" s="1"/>
  <c r="S17" i="3" s="1"/>
  <c r="V17" i="3" s="1"/>
  <c r="W17" i="3" s="1"/>
  <c r="M17" i="3"/>
  <c r="P17" i="3"/>
  <c r="O17" i="3"/>
  <c r="P16" i="3" l="1"/>
  <c r="O16" i="3"/>
  <c r="M16" i="3"/>
  <c r="Q17" i="3"/>
  <c r="R17" i="3" s="1"/>
  <c r="S16" i="3" s="1"/>
  <c r="V16" i="3" s="1"/>
  <c r="W16" i="3" s="1"/>
  <c r="Q16" i="3" l="1"/>
  <c r="R16" i="3" s="1"/>
  <c r="S15" i="3" s="1"/>
  <c r="V15" i="3" s="1"/>
  <c r="W15" i="3" s="1"/>
  <c r="M15" i="3"/>
  <c r="P15" i="3"/>
  <c r="O15" i="3"/>
  <c r="Q15" i="3" l="1"/>
  <c r="R15" i="3" s="1"/>
  <c r="S14" i="3" s="1"/>
  <c r="V14" i="3" s="1"/>
  <c r="W14" i="3" s="1"/>
  <c r="M14" i="3"/>
  <c r="P14" i="3"/>
  <c r="O14" i="3"/>
  <c r="P13" i="3" l="1"/>
  <c r="O13" i="3"/>
  <c r="Q14" i="3"/>
  <c r="R14" i="3" s="1"/>
  <c r="S13" i="3" s="1"/>
  <c r="V13" i="3" s="1"/>
  <c r="W13" i="3" s="1"/>
  <c r="M13" i="3"/>
  <c r="Q13" i="3" l="1"/>
  <c r="R13" i="3" s="1"/>
  <c r="S12" i="3" s="1"/>
  <c r="V12" i="3" s="1"/>
  <c r="W12" i="3" s="1"/>
  <c r="M12" i="3"/>
  <c r="O12" i="3"/>
  <c r="P12" i="3"/>
  <c r="O11" i="3" l="1"/>
  <c r="P11" i="3"/>
  <c r="Q12" i="3"/>
  <c r="R12" i="3" s="1"/>
  <c r="S11" i="3" s="1"/>
  <c r="V11" i="3" s="1"/>
  <c r="W11" i="3" s="1"/>
  <c r="M11" i="3"/>
  <c r="Q11" i="3" s="1"/>
  <c r="R11" i="3" l="1"/>
</calcChain>
</file>

<file path=xl/sharedStrings.xml><?xml version="1.0" encoding="utf-8"?>
<sst xmlns="http://schemas.openxmlformats.org/spreadsheetml/2006/main" count="121" uniqueCount="86">
  <si>
    <t>Assumptions</t>
  </si>
  <si>
    <t>Entry age:</t>
  </si>
  <si>
    <t>Policy term:</t>
  </si>
  <si>
    <t>Sum Assured:</t>
  </si>
  <si>
    <t>Interest rate:</t>
  </si>
  <si>
    <t>Expense loading:</t>
  </si>
  <si>
    <t>Commission:</t>
  </si>
  <si>
    <t>Mortality table selection:</t>
  </si>
  <si>
    <t>Age (x)</t>
  </si>
  <si>
    <t>qx</t>
  </si>
  <si>
    <t>The mortality rates (qx) have been taken from ONS ( Office for National Statistics), UK Statistics Authority.</t>
  </si>
  <si>
    <t>Notation:</t>
  </si>
  <si>
    <t xml:space="preserve">qx </t>
  </si>
  <si>
    <t>is the mortality rate between age x and (x +1), that is the probability that a person aged x exactly will die before reaching age (x +1).</t>
  </si>
  <si>
    <t>years</t>
  </si>
  <si>
    <t>per annum payable at the start of each year</t>
  </si>
  <si>
    <t>of all premiums</t>
  </si>
  <si>
    <t>Claim expenses:</t>
  </si>
  <si>
    <t>of sum assured</t>
  </si>
  <si>
    <t>(payable at the end of year of death)</t>
  </si>
  <si>
    <t>px</t>
  </si>
  <si>
    <t>Product:</t>
  </si>
  <si>
    <t>Term Assurance</t>
  </si>
  <si>
    <t>is the probability that a person aged x will live for atleast 1 more year, that is the probability a person aged x will reach age (x+1).</t>
  </si>
  <si>
    <t>t| qx</t>
  </si>
  <si>
    <t>is the probability that a person aged x will live for atleast t more years and die tithin the subsequent year, that is the probability a person aged x will reach age (x+t) and die before reaching age (x+t+1).</t>
  </si>
  <si>
    <t>Policy year (t)</t>
  </si>
  <si>
    <t>EPV</t>
  </si>
  <si>
    <t>Total:</t>
  </si>
  <si>
    <t>Premium:</t>
  </si>
  <si>
    <t xml:space="preserve">EPV of Benefits </t>
  </si>
  <si>
    <t>EPV of Premiums &amp; Expenses</t>
  </si>
  <si>
    <t>Expenses</t>
  </si>
  <si>
    <t>Commission</t>
  </si>
  <si>
    <t>EPV of Expenses</t>
  </si>
  <si>
    <t>Equating EPV of Premiums with sum total of EPVs of Benefits and Expesnes</t>
  </si>
  <si>
    <t>&gt; via goalseek</t>
  </si>
  <si>
    <t>EPV of expenses + EPV of benefits:</t>
  </si>
  <si>
    <t>Set this cell to equate the total EPV of benefits and expenses.</t>
  </si>
  <si>
    <t>TA:x:&lt;n&gt;</t>
  </si>
  <si>
    <t>aduex:&lt;n&gt;</t>
  </si>
  <si>
    <t>v:</t>
  </si>
  <si>
    <t>EPV of Premiums less commission</t>
  </si>
  <si>
    <t>PV of premiums to start of year</t>
  </si>
  <si>
    <t>PV of expenses to start of year</t>
  </si>
  <si>
    <t>PV of benefits to start of year</t>
  </si>
  <si>
    <t>Expenses:</t>
  </si>
  <si>
    <t>Prospective reserve at start of year</t>
  </si>
  <si>
    <t>Prospective reserve at end of year</t>
  </si>
  <si>
    <t>It is the expected present value of 1 unit payable at the end of the year of death of a life aged x, provided death occurs within the next n years.</t>
  </si>
  <si>
    <t>It is the expected present value of 1 unit payable at the start of each year for a maximum of 
n years, provided the life aged x is alive at the time of payment.</t>
  </si>
  <si>
    <t>Benefits</t>
  </si>
  <si>
    <t>Claim expenses</t>
  </si>
  <si>
    <t>Interest rate</t>
  </si>
  <si>
    <t>Discount rate</t>
  </si>
  <si>
    <t>Premiums</t>
  </si>
  <si>
    <t>&gt;&gt;</t>
  </si>
  <si>
    <t>Sum Assured</t>
  </si>
  <si>
    <t>Retrospective reserve at end of year</t>
  </si>
  <si>
    <t xml:space="preserve">Absolute difference </t>
  </si>
  <si>
    <t>Tolerance</t>
  </si>
  <si>
    <t>Premium</t>
  </si>
  <si>
    <t>% change in Premium</t>
  </si>
  <si>
    <t>Reserve at time t=10</t>
  </si>
  <si>
    <t>% change in Reserve</t>
  </si>
  <si>
    <t xml:space="preserve">base&gt;&gt; </t>
  </si>
  <si>
    <t>Maximum Absolute Differece:</t>
  </si>
  <si>
    <t>Entry Age</t>
  </si>
  <si>
    <t>Term</t>
  </si>
  <si>
    <t>Input Section</t>
  </si>
  <si>
    <t>Output Section</t>
  </si>
  <si>
    <t>Scenario</t>
  </si>
  <si>
    <t>EPV Benefits</t>
  </si>
  <si>
    <t>EPV Premiums</t>
  </si>
  <si>
    <t>Reserve at t= 10</t>
  </si>
  <si>
    <t>Max Reconciliation Error</t>
  </si>
  <si>
    <t>Model Validation</t>
  </si>
  <si>
    <t>Note:</t>
  </si>
  <si>
    <t>Expense and Commission are assumed to be constant over the years.</t>
  </si>
  <si>
    <t>Interest rate is assumed to be constant throughout the term.</t>
  </si>
  <si>
    <t>It is assumed that policy term cannot exceed 50 years.</t>
  </si>
  <si>
    <t>Premiums are assumed to be paid annually in advance.</t>
  </si>
  <si>
    <t>Mortality rates assumed to be deterministic (no stochastic mortality modelling).</t>
  </si>
  <si>
    <t>No lapses or surrenders assumed (policy persists until death or maturity).</t>
  </si>
  <si>
    <t>No inflation adjustment applied to benefits or expenses.</t>
  </si>
  <si>
    <t>No profit loading included (equivalence principle pricing).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</si>
</sst>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0.00000"/>
    <numFmt numFmtId="165" formatCode="0.0000"/>
    <numFmt numFmtId="166" formatCode="&quot;₹&quot;\ #,##0.00"/>
    <numFmt numFmtId="167" formatCode="0.0%"/>
    <numFmt numFmtId="168" formatCode="_ * #,##0_ ;_ * \-#,##0_ ;_ * &quot;-&quot;??_ ;_ @_ "/>
    <numFmt numFmtId="169" formatCode="_ * #,##0.000_ ;_ * \-#,##0.000_ ;_ * &quot;-&quot;??_ ;_ @_ "/>
    <numFmt numFmtId="170" formatCode="_ * #,##0.0000_ ;_ * \-#,##0.0000_ ;_ * &quot;-&quot;??_ ;_ @_ "/>
    <numFmt numFmtId="171" formatCode="_ * #,##0.00000_ ;_ * \-#,##0.00000_ ;_ * &quot;-&quot;??_ ;_ @_ "/>
    <numFmt numFmtId="172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name val="Arial"/>
      <family val="2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9" fontId="0" fillId="0" borderId="0" xfId="0" applyNumberFormat="1"/>
    <xf numFmtId="167" fontId="0" fillId="0" borderId="0" xfId="2" applyNumberFormat="1" applyFont="1"/>
    <xf numFmtId="0" fontId="2" fillId="0" borderId="0" xfId="0" applyFont="1"/>
    <xf numFmtId="1" fontId="0" fillId="0" borderId="0" xfId="0" applyNumberFormat="1"/>
    <xf numFmtId="0" fontId="2" fillId="0" borderId="0" xfId="0" applyFont="1" applyAlignment="1">
      <alignment wrapText="1"/>
    </xf>
    <xf numFmtId="1" fontId="0" fillId="3" borderId="0" xfId="0" applyNumberFormat="1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5" fillId="2" borderId="1" xfId="3" applyFont="1" applyFill="1" applyBorder="1" applyAlignment="1">
      <alignment vertical="top"/>
    </xf>
    <xf numFmtId="168" fontId="0" fillId="0" borderId="0" xfId="1" applyNumberFormat="1" applyFont="1"/>
    <xf numFmtId="43" fontId="0" fillId="0" borderId="0" xfId="1" applyFont="1"/>
    <xf numFmtId="168" fontId="0" fillId="0" borderId="0" xfId="0" applyNumberFormat="1"/>
    <xf numFmtId="169" fontId="0" fillId="0" borderId="0" xfId="1" applyNumberFormat="1" applyFont="1"/>
    <xf numFmtId="170" fontId="0" fillId="0" borderId="0" xfId="1" applyNumberFormat="1" applyFont="1"/>
    <xf numFmtId="171" fontId="0" fillId="0" borderId="0" xfId="1" applyNumberFormat="1" applyFont="1"/>
    <xf numFmtId="1" fontId="0" fillId="0" borderId="0" xfId="1" applyNumberFormat="1" applyFont="1"/>
    <xf numFmtId="10" fontId="0" fillId="0" borderId="0" xfId="2" applyNumberFormat="1" applyFont="1"/>
    <xf numFmtId="169" fontId="0" fillId="0" borderId="0" xfId="0" applyNumberFormat="1"/>
    <xf numFmtId="2" fontId="2" fillId="0" borderId="0" xfId="0" applyNumberFormat="1" applyFont="1"/>
    <xf numFmtId="0" fontId="0" fillId="0" borderId="0" xfId="0" quotePrefix="1"/>
    <xf numFmtId="2" fontId="0" fillId="3" borderId="0" xfId="0" applyNumberFormat="1" applyFill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0" xfId="0" applyNumberFormat="1"/>
    <xf numFmtId="172" fontId="0" fillId="0" borderId="0" xfId="0" applyNumberFormat="1"/>
    <xf numFmtId="0" fontId="2" fillId="0" borderId="2" xfId="0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 2 2" xfId="3" xr:uid="{BBFB164A-78E8-48A9-9550-EA6397B77171}"/>
    <cellStyle name="Percent" xfId="2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8470-2830-447F-A5B7-0FB653F2987A}">
  <dimension ref="A1:F22"/>
  <sheetViews>
    <sheetView tabSelected="1" zoomScale="95" zoomScaleNormal="150" workbookViewId="0">
      <selection activeCell="A22" sqref="A22"/>
    </sheetView>
  </sheetViews>
  <sheetFormatPr defaultRowHeight="14.4" x14ac:dyDescent="0.3"/>
  <cols>
    <col min="1" max="1" width="21.77734375" bestFit="1" customWidth="1"/>
    <col min="2" max="2" width="14.33203125" bestFit="1" customWidth="1"/>
  </cols>
  <sheetData>
    <row r="1" spans="1:6" x14ac:dyDescent="0.3">
      <c r="A1" s="30" t="s">
        <v>0</v>
      </c>
      <c r="B1" s="30"/>
      <c r="C1" s="30"/>
      <c r="D1" s="30"/>
      <c r="E1" s="30"/>
      <c r="F1" s="30"/>
    </row>
    <row r="2" spans="1:6" x14ac:dyDescent="0.3">
      <c r="A2" s="30"/>
      <c r="B2" s="30"/>
      <c r="C2" s="30"/>
      <c r="D2" s="30"/>
      <c r="E2" s="30"/>
      <c r="F2" s="30"/>
    </row>
    <row r="3" spans="1:6" x14ac:dyDescent="0.3">
      <c r="A3" t="s">
        <v>1</v>
      </c>
      <c r="B3">
        <v>35</v>
      </c>
    </row>
    <row r="4" spans="1:6" x14ac:dyDescent="0.3">
      <c r="A4" t="s">
        <v>21</v>
      </c>
      <c r="B4" t="s">
        <v>22</v>
      </c>
    </row>
    <row r="5" spans="1:6" x14ac:dyDescent="0.3">
      <c r="A5" t="s">
        <v>2</v>
      </c>
      <c r="B5">
        <v>25</v>
      </c>
      <c r="C5" t="s">
        <v>14</v>
      </c>
    </row>
    <row r="6" spans="1:6" x14ac:dyDescent="0.3">
      <c r="A6" t="s">
        <v>3</v>
      </c>
      <c r="B6" s="3">
        <v>100000</v>
      </c>
      <c r="C6" t="s">
        <v>19</v>
      </c>
    </row>
    <row r="7" spans="1:6" x14ac:dyDescent="0.3">
      <c r="A7" t="s">
        <v>4</v>
      </c>
      <c r="B7" s="4">
        <v>0.06</v>
      </c>
    </row>
    <row r="8" spans="1:6" x14ac:dyDescent="0.3">
      <c r="A8" t="s">
        <v>5</v>
      </c>
      <c r="B8" s="3">
        <v>1000</v>
      </c>
      <c r="C8" t="s">
        <v>15</v>
      </c>
    </row>
    <row r="9" spans="1:6" x14ac:dyDescent="0.3">
      <c r="A9" t="s">
        <v>17</v>
      </c>
      <c r="B9" s="5">
        <v>5.0000000000000001E-3</v>
      </c>
      <c r="C9" t="s">
        <v>18</v>
      </c>
    </row>
    <row r="10" spans="1:6" x14ac:dyDescent="0.3">
      <c r="A10" t="s">
        <v>6</v>
      </c>
      <c r="B10" s="4">
        <v>0.02</v>
      </c>
      <c r="C10" t="s">
        <v>16</v>
      </c>
    </row>
    <row r="11" spans="1:6" x14ac:dyDescent="0.3">
      <c r="A11" t="s">
        <v>7</v>
      </c>
      <c r="B11" t="s">
        <v>10</v>
      </c>
    </row>
    <row r="14" spans="1:6" x14ac:dyDescent="0.3">
      <c r="A14" t="s">
        <v>77</v>
      </c>
    </row>
    <row r="15" spans="1:6" x14ac:dyDescent="0.3">
      <c r="A15" t="s">
        <v>78</v>
      </c>
    </row>
    <row r="16" spans="1:6" x14ac:dyDescent="0.3">
      <c r="A16" t="s">
        <v>79</v>
      </c>
    </row>
    <row r="17" spans="1:1" x14ac:dyDescent="0.3">
      <c r="A17" t="s">
        <v>80</v>
      </c>
    </row>
    <row r="18" spans="1:1" x14ac:dyDescent="0.3">
      <c r="A18" t="s">
        <v>81</v>
      </c>
    </row>
    <row r="19" spans="1:1" x14ac:dyDescent="0.3">
      <c r="A19" t="s">
        <v>82</v>
      </c>
    </row>
    <row r="20" spans="1:1" x14ac:dyDescent="0.3">
      <c r="A20" t="s">
        <v>83</v>
      </c>
    </row>
    <row r="21" spans="1:1" x14ac:dyDescent="0.3">
      <c r="A21" t="s">
        <v>84</v>
      </c>
    </row>
    <row r="22" spans="1:1" x14ac:dyDescent="0.3">
      <c r="A22" t="s">
        <v>85</v>
      </c>
    </row>
  </sheetData>
  <mergeCells count="1"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E235-C2EA-43DD-A6F1-94565B6B2CC0}">
  <dimension ref="B1:F107"/>
  <sheetViews>
    <sheetView topLeftCell="A5" zoomScale="132" workbookViewId="0">
      <selection activeCell="B4" sqref="B4"/>
    </sheetView>
  </sheetViews>
  <sheetFormatPr defaultRowHeight="14.4" x14ac:dyDescent="0.3"/>
  <sheetData>
    <row r="1" spans="2:6" x14ac:dyDescent="0.3">
      <c r="B1" t="s">
        <v>11</v>
      </c>
    </row>
    <row r="2" spans="2:6" ht="15.6" x14ac:dyDescent="0.3">
      <c r="C2" s="12" t="s">
        <v>12</v>
      </c>
      <c r="D2" t="s">
        <v>13</v>
      </c>
    </row>
    <row r="3" spans="2:6" ht="15" x14ac:dyDescent="0.3">
      <c r="C3" s="12" t="s">
        <v>20</v>
      </c>
      <c r="D3" t="s">
        <v>23</v>
      </c>
    </row>
    <row r="4" spans="2:6" ht="15" x14ac:dyDescent="0.3">
      <c r="C4" s="12" t="s">
        <v>24</v>
      </c>
      <c r="D4" t="s">
        <v>25</v>
      </c>
    </row>
    <row r="6" spans="2:6" x14ac:dyDescent="0.3">
      <c r="B6" t="s">
        <v>8</v>
      </c>
      <c r="C6" t="s">
        <v>9</v>
      </c>
      <c r="D6" t="s">
        <v>20</v>
      </c>
    </row>
    <row r="7" spans="2:6" x14ac:dyDescent="0.3">
      <c r="B7">
        <v>0</v>
      </c>
      <c r="C7" s="1">
        <v>4.6020000000000002E-3</v>
      </c>
      <c r="D7" s="1">
        <f>1-C7</f>
        <v>0.99539800000000001</v>
      </c>
      <c r="E7" s="1"/>
      <c r="F7" s="1"/>
    </row>
    <row r="8" spans="2:6" x14ac:dyDescent="0.3">
      <c r="B8">
        <f>B7+1</f>
        <v>1</v>
      </c>
      <c r="C8" s="1">
        <v>2.4699999999999999E-4</v>
      </c>
      <c r="D8" s="1">
        <f t="shared" ref="D8:D71" si="0">1-C8</f>
        <v>0.999753</v>
      </c>
      <c r="F8" s="1"/>
    </row>
    <row r="9" spans="2:6" x14ac:dyDescent="0.3">
      <c r="B9">
        <f t="shared" ref="B9:B72" si="1">B8+1</f>
        <v>2</v>
      </c>
      <c r="C9" s="1">
        <v>1.7699999999999999E-4</v>
      </c>
      <c r="D9" s="1">
        <f t="shared" si="0"/>
        <v>0.99982300000000002</v>
      </c>
      <c r="F9" s="1"/>
    </row>
    <row r="10" spans="2:6" x14ac:dyDescent="0.3">
      <c r="B10">
        <f t="shared" si="1"/>
        <v>3</v>
      </c>
      <c r="C10" s="1">
        <v>1.15E-4</v>
      </c>
      <c r="D10" s="1">
        <f t="shared" si="0"/>
        <v>0.99988500000000002</v>
      </c>
      <c r="F10" s="1"/>
    </row>
    <row r="11" spans="2:6" x14ac:dyDescent="0.3">
      <c r="B11">
        <f t="shared" si="1"/>
        <v>4</v>
      </c>
      <c r="C11" s="1">
        <v>1E-4</v>
      </c>
      <c r="D11" s="1">
        <f t="shared" si="0"/>
        <v>0.99990000000000001</v>
      </c>
      <c r="F11" s="1"/>
    </row>
    <row r="12" spans="2:6" x14ac:dyDescent="0.3">
      <c r="B12">
        <f t="shared" si="1"/>
        <v>5</v>
      </c>
      <c r="C12" s="1">
        <v>9.7E-5</v>
      </c>
      <c r="D12" s="1">
        <f t="shared" si="0"/>
        <v>0.99990299999999999</v>
      </c>
      <c r="F12" s="1"/>
    </row>
    <row r="13" spans="2:6" x14ac:dyDescent="0.3">
      <c r="B13">
        <f t="shared" si="1"/>
        <v>6</v>
      </c>
      <c r="C13" s="1">
        <v>8.0000000000000007E-5</v>
      </c>
      <c r="D13" s="1">
        <f t="shared" si="0"/>
        <v>0.99992000000000003</v>
      </c>
      <c r="F13" s="1"/>
    </row>
    <row r="14" spans="2:6" x14ac:dyDescent="0.3">
      <c r="B14">
        <f t="shared" si="1"/>
        <v>7</v>
      </c>
      <c r="C14" s="1">
        <v>8.0000000000000007E-5</v>
      </c>
      <c r="D14" s="1">
        <f t="shared" si="0"/>
        <v>0.99992000000000003</v>
      </c>
      <c r="F14" s="1"/>
    </row>
    <row r="15" spans="2:6" x14ac:dyDescent="0.3">
      <c r="B15">
        <f t="shared" si="1"/>
        <v>8</v>
      </c>
      <c r="C15" s="1">
        <v>7.8999999999999996E-5</v>
      </c>
      <c r="D15" s="1">
        <f t="shared" si="0"/>
        <v>0.99992099999999995</v>
      </c>
      <c r="F15" s="1"/>
    </row>
    <row r="16" spans="2:6" x14ac:dyDescent="0.3">
      <c r="B16">
        <f t="shared" si="1"/>
        <v>9</v>
      </c>
      <c r="C16" s="1">
        <v>9.1000000000000003E-5</v>
      </c>
      <c r="D16" s="1">
        <f t="shared" si="0"/>
        <v>0.99990900000000005</v>
      </c>
      <c r="F16" s="1"/>
    </row>
    <row r="17" spans="2:6" x14ac:dyDescent="0.3">
      <c r="B17">
        <f t="shared" si="1"/>
        <v>10</v>
      </c>
      <c r="C17" s="1">
        <v>6.9999999999999994E-5</v>
      </c>
      <c r="D17" s="1">
        <f t="shared" si="0"/>
        <v>0.99992999999999999</v>
      </c>
      <c r="F17" s="1"/>
    </row>
    <row r="18" spans="2:6" x14ac:dyDescent="0.3">
      <c r="B18">
        <f t="shared" si="1"/>
        <v>11</v>
      </c>
      <c r="C18" s="1">
        <v>9.5000000000000005E-5</v>
      </c>
      <c r="D18" s="1">
        <f t="shared" si="0"/>
        <v>0.99990500000000004</v>
      </c>
      <c r="F18" s="1"/>
    </row>
    <row r="19" spans="2:6" x14ac:dyDescent="0.3">
      <c r="B19">
        <f t="shared" si="1"/>
        <v>12</v>
      </c>
      <c r="C19" s="1">
        <v>9.6000000000000002E-5</v>
      </c>
      <c r="D19" s="1">
        <f t="shared" si="0"/>
        <v>0.99990400000000002</v>
      </c>
      <c r="F19" s="1"/>
    </row>
    <row r="20" spans="2:6" x14ac:dyDescent="0.3">
      <c r="B20">
        <f t="shared" si="1"/>
        <v>13</v>
      </c>
      <c r="C20" s="1">
        <v>1.15E-4</v>
      </c>
      <c r="D20" s="1">
        <f t="shared" si="0"/>
        <v>0.99988500000000002</v>
      </c>
      <c r="F20" s="1"/>
    </row>
    <row r="21" spans="2:6" x14ac:dyDescent="0.3">
      <c r="B21">
        <f t="shared" si="1"/>
        <v>14</v>
      </c>
      <c r="C21" s="1">
        <v>1.3899999999999999E-4</v>
      </c>
      <c r="D21" s="1">
        <f t="shared" si="0"/>
        <v>0.999861</v>
      </c>
      <c r="F21" s="1"/>
    </row>
    <row r="22" spans="2:6" x14ac:dyDescent="0.3">
      <c r="B22">
        <f t="shared" si="1"/>
        <v>15</v>
      </c>
      <c r="C22" s="1">
        <v>1.73E-4</v>
      </c>
      <c r="D22" s="1">
        <f t="shared" si="0"/>
        <v>0.99982700000000002</v>
      </c>
      <c r="F22" s="1"/>
    </row>
    <row r="23" spans="2:6" x14ac:dyDescent="0.3">
      <c r="B23">
        <f t="shared" si="1"/>
        <v>16</v>
      </c>
      <c r="C23" s="1">
        <v>2.5700000000000001E-4</v>
      </c>
      <c r="D23" s="1">
        <f t="shared" si="0"/>
        <v>0.99974300000000005</v>
      </c>
      <c r="F23" s="1"/>
    </row>
    <row r="24" spans="2:6" x14ac:dyDescent="0.3">
      <c r="B24">
        <f t="shared" si="1"/>
        <v>17</v>
      </c>
      <c r="C24" s="1">
        <v>2.8800000000000001E-4</v>
      </c>
      <c r="D24" s="1">
        <f t="shared" si="0"/>
        <v>0.99971200000000005</v>
      </c>
      <c r="F24" s="1"/>
    </row>
    <row r="25" spans="2:6" x14ac:dyDescent="0.3">
      <c r="B25">
        <f t="shared" si="1"/>
        <v>18</v>
      </c>
      <c r="C25" s="1">
        <v>4.3800000000000002E-4</v>
      </c>
      <c r="D25" s="1">
        <f t="shared" si="0"/>
        <v>0.99956199999999995</v>
      </c>
      <c r="F25" s="1"/>
    </row>
    <row r="26" spans="2:6" x14ac:dyDescent="0.3">
      <c r="B26">
        <f t="shared" si="1"/>
        <v>19</v>
      </c>
      <c r="C26" s="1">
        <v>4.9299999999999995E-4</v>
      </c>
      <c r="D26" s="1">
        <f t="shared" si="0"/>
        <v>0.99950700000000003</v>
      </c>
      <c r="F26" s="1"/>
    </row>
    <row r="27" spans="2:6" x14ac:dyDescent="0.3">
      <c r="B27">
        <f t="shared" si="1"/>
        <v>20</v>
      </c>
      <c r="C27" s="1">
        <v>4.57E-4</v>
      </c>
      <c r="D27" s="1">
        <f t="shared" si="0"/>
        <v>0.99954299999999996</v>
      </c>
      <c r="F27" s="1"/>
    </row>
    <row r="28" spans="2:6" x14ac:dyDescent="0.3">
      <c r="B28">
        <f t="shared" si="1"/>
        <v>21</v>
      </c>
      <c r="C28" s="1">
        <v>5.0900000000000001E-4</v>
      </c>
      <c r="D28" s="1">
        <f t="shared" si="0"/>
        <v>0.99949100000000002</v>
      </c>
      <c r="F28" s="1"/>
    </row>
    <row r="29" spans="2:6" x14ac:dyDescent="0.3">
      <c r="B29">
        <f t="shared" si="1"/>
        <v>22</v>
      </c>
      <c r="C29" s="1">
        <v>5.1900000000000004E-4</v>
      </c>
      <c r="D29" s="1">
        <f t="shared" si="0"/>
        <v>0.99948099999999995</v>
      </c>
      <c r="F29" s="1"/>
    </row>
    <row r="30" spans="2:6" x14ac:dyDescent="0.3">
      <c r="B30">
        <f t="shared" si="1"/>
        <v>23</v>
      </c>
      <c r="C30" s="1">
        <v>5.53E-4</v>
      </c>
      <c r="D30" s="1">
        <f t="shared" si="0"/>
        <v>0.99944699999999997</v>
      </c>
      <c r="F30" s="1"/>
    </row>
    <row r="31" spans="2:6" x14ac:dyDescent="0.3">
      <c r="B31">
        <f t="shared" si="1"/>
        <v>24</v>
      </c>
      <c r="C31" s="1">
        <v>5.3600000000000002E-4</v>
      </c>
      <c r="D31" s="1">
        <f t="shared" si="0"/>
        <v>0.99946400000000002</v>
      </c>
      <c r="F31" s="1"/>
    </row>
    <row r="32" spans="2:6" x14ac:dyDescent="0.3">
      <c r="B32">
        <f t="shared" si="1"/>
        <v>25</v>
      </c>
      <c r="C32" s="1">
        <v>5.4000000000000001E-4</v>
      </c>
      <c r="D32" s="1">
        <f t="shared" si="0"/>
        <v>0.99946000000000002</v>
      </c>
      <c r="F32" s="1"/>
    </row>
    <row r="33" spans="2:6" x14ac:dyDescent="0.3">
      <c r="B33">
        <f t="shared" si="1"/>
        <v>26</v>
      </c>
      <c r="C33" s="1">
        <v>6.4199999999999999E-4</v>
      </c>
      <c r="D33" s="1">
        <f t="shared" si="0"/>
        <v>0.99935799999999997</v>
      </c>
      <c r="F33" s="1"/>
    </row>
    <row r="34" spans="2:6" x14ac:dyDescent="0.3">
      <c r="B34">
        <f t="shared" si="1"/>
        <v>27</v>
      </c>
      <c r="C34" s="1">
        <v>5.9999999999999995E-4</v>
      </c>
      <c r="D34" s="1">
        <f t="shared" si="0"/>
        <v>0.99939999999999996</v>
      </c>
      <c r="F34" s="1"/>
    </row>
    <row r="35" spans="2:6" x14ac:dyDescent="0.3">
      <c r="B35">
        <f t="shared" si="1"/>
        <v>28</v>
      </c>
      <c r="C35" s="1">
        <v>6.7900000000000002E-4</v>
      </c>
      <c r="D35" s="1">
        <f t="shared" si="0"/>
        <v>0.99932100000000001</v>
      </c>
      <c r="F35" s="1"/>
    </row>
    <row r="36" spans="2:6" x14ac:dyDescent="0.3">
      <c r="B36">
        <f t="shared" si="1"/>
        <v>29</v>
      </c>
      <c r="C36" s="1">
        <v>7.3700000000000002E-4</v>
      </c>
      <c r="D36" s="1">
        <f t="shared" si="0"/>
        <v>0.99926300000000001</v>
      </c>
      <c r="F36" s="1"/>
    </row>
    <row r="37" spans="2:6" x14ac:dyDescent="0.3">
      <c r="B37">
        <f t="shared" si="1"/>
        <v>30</v>
      </c>
      <c r="C37" s="1">
        <v>7.6900000000000004E-4</v>
      </c>
      <c r="D37" s="1">
        <f t="shared" si="0"/>
        <v>0.99923099999999998</v>
      </c>
      <c r="F37" s="1"/>
    </row>
    <row r="38" spans="2:6" x14ac:dyDescent="0.3">
      <c r="B38">
        <f t="shared" si="1"/>
        <v>31</v>
      </c>
      <c r="C38" s="1">
        <v>8.4699999999999999E-4</v>
      </c>
      <c r="D38" s="1">
        <f t="shared" si="0"/>
        <v>0.99915299999999996</v>
      </c>
      <c r="F38" s="1"/>
    </row>
    <row r="39" spans="2:6" x14ac:dyDescent="0.3">
      <c r="B39">
        <f t="shared" si="1"/>
        <v>32</v>
      </c>
      <c r="C39" s="1">
        <v>8.8000000000000003E-4</v>
      </c>
      <c r="D39" s="1">
        <f t="shared" si="0"/>
        <v>0.99912000000000001</v>
      </c>
      <c r="F39" s="1"/>
    </row>
    <row r="40" spans="2:6" x14ac:dyDescent="0.3">
      <c r="B40">
        <f t="shared" si="1"/>
        <v>33</v>
      </c>
      <c r="C40" s="1">
        <v>9.4899999999999997E-4</v>
      </c>
      <c r="D40" s="1">
        <f t="shared" si="0"/>
        <v>0.99905100000000002</v>
      </c>
      <c r="F40" s="1"/>
    </row>
    <row r="41" spans="2:6" x14ac:dyDescent="0.3">
      <c r="B41">
        <f t="shared" si="1"/>
        <v>34</v>
      </c>
      <c r="C41" s="1">
        <v>1.0319999999999999E-3</v>
      </c>
      <c r="D41" s="1">
        <f t="shared" si="0"/>
        <v>0.99896799999999997</v>
      </c>
      <c r="F41" s="1"/>
    </row>
    <row r="42" spans="2:6" x14ac:dyDescent="0.3">
      <c r="B42">
        <f t="shared" si="1"/>
        <v>35</v>
      </c>
      <c r="C42" s="1">
        <v>1.1100000000000001E-3</v>
      </c>
      <c r="D42" s="1">
        <f t="shared" si="0"/>
        <v>0.99888999999999994</v>
      </c>
      <c r="F42" s="1"/>
    </row>
    <row r="43" spans="2:6" x14ac:dyDescent="0.3">
      <c r="B43">
        <f t="shared" si="1"/>
        <v>36</v>
      </c>
      <c r="C43" s="1">
        <v>1.2329999999999999E-3</v>
      </c>
      <c r="D43" s="1">
        <f t="shared" si="0"/>
        <v>0.99876699999999996</v>
      </c>
      <c r="F43" s="1"/>
    </row>
    <row r="44" spans="2:6" x14ac:dyDescent="0.3">
      <c r="B44">
        <f t="shared" si="1"/>
        <v>37</v>
      </c>
      <c r="C44" s="1">
        <v>1.305E-3</v>
      </c>
      <c r="D44" s="1">
        <f t="shared" si="0"/>
        <v>0.998695</v>
      </c>
      <c r="F44" s="1"/>
    </row>
    <row r="45" spans="2:6" x14ac:dyDescent="0.3">
      <c r="B45">
        <f t="shared" si="1"/>
        <v>38</v>
      </c>
      <c r="C45" s="1">
        <v>1.3699999999999999E-3</v>
      </c>
      <c r="D45" s="1">
        <f t="shared" si="0"/>
        <v>0.99863000000000002</v>
      </c>
      <c r="F45" s="1"/>
    </row>
    <row r="46" spans="2:6" x14ac:dyDescent="0.3">
      <c r="B46">
        <f t="shared" si="1"/>
        <v>39</v>
      </c>
      <c r="C46" s="1">
        <v>1.5169999999999999E-3</v>
      </c>
      <c r="D46" s="1">
        <f t="shared" si="0"/>
        <v>0.99848300000000001</v>
      </c>
      <c r="F46" s="1"/>
    </row>
    <row r="47" spans="2:6" x14ac:dyDescent="0.3">
      <c r="B47">
        <f t="shared" si="1"/>
        <v>40</v>
      </c>
      <c r="C47" s="1">
        <v>1.681E-3</v>
      </c>
      <c r="D47" s="1">
        <f t="shared" si="0"/>
        <v>0.99831899999999996</v>
      </c>
      <c r="F47" s="1"/>
    </row>
    <row r="48" spans="2:6" x14ac:dyDescent="0.3">
      <c r="B48">
        <f t="shared" si="1"/>
        <v>41</v>
      </c>
      <c r="C48" s="1">
        <v>1.8079999999999999E-3</v>
      </c>
      <c r="D48" s="1">
        <f t="shared" si="0"/>
        <v>0.99819199999999997</v>
      </c>
      <c r="F48" s="1"/>
    </row>
    <row r="49" spans="2:6" x14ac:dyDescent="0.3">
      <c r="B49">
        <f t="shared" si="1"/>
        <v>42</v>
      </c>
      <c r="C49" s="1">
        <v>1.89E-3</v>
      </c>
      <c r="D49" s="1">
        <f t="shared" si="0"/>
        <v>0.99811000000000005</v>
      </c>
      <c r="F49" s="1"/>
    </row>
    <row r="50" spans="2:6" x14ac:dyDescent="0.3">
      <c r="B50">
        <f t="shared" si="1"/>
        <v>43</v>
      </c>
      <c r="C50" s="1">
        <v>2.0739999999999999E-3</v>
      </c>
      <c r="D50" s="1">
        <f t="shared" si="0"/>
        <v>0.99792599999999998</v>
      </c>
      <c r="F50" s="1"/>
    </row>
    <row r="51" spans="2:6" x14ac:dyDescent="0.3">
      <c r="B51">
        <f t="shared" si="1"/>
        <v>44</v>
      </c>
      <c r="C51" s="1">
        <v>2.1640000000000001E-3</v>
      </c>
      <c r="D51" s="1">
        <f t="shared" si="0"/>
        <v>0.99783599999999995</v>
      </c>
      <c r="F51" s="1"/>
    </row>
    <row r="52" spans="2:6" x14ac:dyDescent="0.3">
      <c r="B52">
        <f t="shared" si="1"/>
        <v>45</v>
      </c>
      <c r="C52" s="1">
        <v>2.4329999999999998E-3</v>
      </c>
      <c r="D52" s="1">
        <f t="shared" si="0"/>
        <v>0.99756699999999998</v>
      </c>
      <c r="F52" s="1"/>
    </row>
    <row r="53" spans="2:6" x14ac:dyDescent="0.3">
      <c r="B53">
        <f t="shared" si="1"/>
        <v>46</v>
      </c>
      <c r="C53" s="1">
        <v>2.6150000000000001E-3</v>
      </c>
      <c r="D53" s="1">
        <f t="shared" si="0"/>
        <v>0.99738499999999997</v>
      </c>
      <c r="F53" s="1"/>
    </row>
    <row r="54" spans="2:6" x14ac:dyDescent="0.3">
      <c r="B54">
        <f t="shared" si="1"/>
        <v>47</v>
      </c>
      <c r="C54" s="1">
        <v>2.8389999999999999E-3</v>
      </c>
      <c r="D54" s="1">
        <f t="shared" si="0"/>
        <v>0.99716099999999996</v>
      </c>
      <c r="F54" s="1"/>
    </row>
    <row r="55" spans="2:6" x14ac:dyDescent="0.3">
      <c r="B55">
        <f t="shared" si="1"/>
        <v>48</v>
      </c>
      <c r="C55" s="1">
        <v>3.0569999999999998E-3</v>
      </c>
      <c r="D55" s="1">
        <f t="shared" si="0"/>
        <v>0.99694300000000002</v>
      </c>
      <c r="F55" s="1"/>
    </row>
    <row r="56" spans="2:6" x14ac:dyDescent="0.3">
      <c r="B56">
        <f t="shared" si="1"/>
        <v>49</v>
      </c>
      <c r="C56" s="1">
        <v>3.3869999999999998E-3</v>
      </c>
      <c r="D56" s="1">
        <f t="shared" si="0"/>
        <v>0.99661299999999997</v>
      </c>
      <c r="F56" s="1"/>
    </row>
    <row r="57" spans="2:6" x14ac:dyDescent="0.3">
      <c r="B57">
        <f t="shared" si="1"/>
        <v>50</v>
      </c>
      <c r="C57" s="1">
        <v>3.7109999999999999E-3</v>
      </c>
      <c r="D57" s="1">
        <f t="shared" si="0"/>
        <v>0.99628899999999998</v>
      </c>
      <c r="F57" s="1"/>
    </row>
    <row r="58" spans="2:6" x14ac:dyDescent="0.3">
      <c r="B58">
        <f t="shared" si="1"/>
        <v>51</v>
      </c>
      <c r="C58" s="1">
        <v>4.0109999999999998E-3</v>
      </c>
      <c r="D58" s="1">
        <f t="shared" si="0"/>
        <v>0.99598900000000001</v>
      </c>
      <c r="F58" s="1"/>
    </row>
    <row r="59" spans="2:6" x14ac:dyDescent="0.3">
      <c r="B59">
        <f t="shared" si="1"/>
        <v>52</v>
      </c>
      <c r="C59" s="1">
        <v>4.2779999999999997E-3</v>
      </c>
      <c r="D59" s="1">
        <f t="shared" si="0"/>
        <v>0.995722</v>
      </c>
      <c r="F59" s="1"/>
    </row>
    <row r="60" spans="2:6" x14ac:dyDescent="0.3">
      <c r="B60">
        <f t="shared" si="1"/>
        <v>53</v>
      </c>
      <c r="C60" s="1">
        <v>4.5519999999999996E-3</v>
      </c>
      <c r="D60" s="1">
        <f t="shared" si="0"/>
        <v>0.995448</v>
      </c>
      <c r="F60" s="1"/>
    </row>
    <row r="61" spans="2:6" x14ac:dyDescent="0.3">
      <c r="B61">
        <f t="shared" si="1"/>
        <v>54</v>
      </c>
      <c r="C61" s="1">
        <v>4.9280000000000001E-3</v>
      </c>
      <c r="D61" s="1">
        <f t="shared" si="0"/>
        <v>0.99507199999999996</v>
      </c>
      <c r="F61" s="1"/>
    </row>
    <row r="62" spans="2:6" x14ac:dyDescent="0.3">
      <c r="B62">
        <f t="shared" si="1"/>
        <v>55</v>
      </c>
      <c r="C62" s="1">
        <v>5.3200000000000001E-3</v>
      </c>
      <c r="D62" s="1">
        <f t="shared" si="0"/>
        <v>0.99468000000000001</v>
      </c>
      <c r="F62" s="1"/>
    </row>
    <row r="63" spans="2:6" x14ac:dyDescent="0.3">
      <c r="B63">
        <f t="shared" si="1"/>
        <v>56</v>
      </c>
      <c r="C63" s="1">
        <v>5.7400000000000003E-3</v>
      </c>
      <c r="D63" s="1">
        <f t="shared" si="0"/>
        <v>0.99426000000000003</v>
      </c>
      <c r="F63" s="1"/>
    </row>
    <row r="64" spans="2:6" x14ac:dyDescent="0.3">
      <c r="B64">
        <f t="shared" si="1"/>
        <v>57</v>
      </c>
      <c r="C64" s="1">
        <v>6.2529999999999999E-3</v>
      </c>
      <c r="D64" s="1">
        <f t="shared" si="0"/>
        <v>0.99374700000000005</v>
      </c>
      <c r="F64" s="1"/>
    </row>
    <row r="65" spans="2:6" x14ac:dyDescent="0.3">
      <c r="B65">
        <f t="shared" si="1"/>
        <v>58</v>
      </c>
      <c r="C65" s="1">
        <v>6.7279999999999996E-3</v>
      </c>
      <c r="D65" s="1">
        <f t="shared" si="0"/>
        <v>0.99327200000000004</v>
      </c>
      <c r="F65" s="1"/>
    </row>
    <row r="66" spans="2:6" x14ac:dyDescent="0.3">
      <c r="B66">
        <f t="shared" si="1"/>
        <v>59</v>
      </c>
      <c r="C66" s="1">
        <v>7.2360000000000002E-3</v>
      </c>
      <c r="D66" s="1">
        <f t="shared" si="0"/>
        <v>0.99276399999999998</v>
      </c>
      <c r="F66" s="1"/>
    </row>
    <row r="67" spans="2:6" x14ac:dyDescent="0.3">
      <c r="B67">
        <f t="shared" si="1"/>
        <v>60</v>
      </c>
      <c r="C67" s="1">
        <v>7.7609999999999997E-3</v>
      </c>
      <c r="D67" s="1">
        <f t="shared" si="0"/>
        <v>0.99223899999999998</v>
      </c>
      <c r="F67" s="1"/>
    </row>
    <row r="68" spans="2:6" x14ac:dyDescent="0.3">
      <c r="B68">
        <f t="shared" si="1"/>
        <v>61</v>
      </c>
      <c r="C68" s="1">
        <v>8.5559999999999994E-3</v>
      </c>
      <c r="D68" s="1">
        <f t="shared" si="0"/>
        <v>0.99144399999999999</v>
      </c>
      <c r="F68" s="1"/>
    </row>
    <row r="69" spans="2:6" x14ac:dyDescent="0.3">
      <c r="B69">
        <f t="shared" si="1"/>
        <v>62</v>
      </c>
      <c r="C69" s="1">
        <v>9.2919999999999999E-3</v>
      </c>
      <c r="D69" s="1">
        <f t="shared" si="0"/>
        <v>0.99070800000000003</v>
      </c>
      <c r="F69" s="1"/>
    </row>
    <row r="70" spans="2:6" x14ac:dyDescent="0.3">
      <c r="B70">
        <f t="shared" si="1"/>
        <v>63</v>
      </c>
      <c r="C70" s="1">
        <v>1.0033E-2</v>
      </c>
      <c r="D70" s="1">
        <f t="shared" si="0"/>
        <v>0.98996700000000004</v>
      </c>
      <c r="F70" s="1"/>
    </row>
    <row r="71" spans="2:6" x14ac:dyDescent="0.3">
      <c r="B71">
        <f t="shared" si="1"/>
        <v>64</v>
      </c>
      <c r="C71" s="1">
        <v>1.1172E-2</v>
      </c>
      <c r="D71" s="1">
        <f t="shared" si="0"/>
        <v>0.98882800000000004</v>
      </c>
      <c r="F71" s="1"/>
    </row>
    <row r="72" spans="2:6" x14ac:dyDescent="0.3">
      <c r="B72">
        <f t="shared" si="1"/>
        <v>65</v>
      </c>
      <c r="C72" s="1">
        <v>1.1976000000000001E-2</v>
      </c>
      <c r="D72" s="1">
        <f t="shared" ref="D72:D107" si="2">1-C72</f>
        <v>0.98802400000000001</v>
      </c>
      <c r="F72" s="1"/>
    </row>
    <row r="73" spans="2:6" x14ac:dyDescent="0.3">
      <c r="B73">
        <f t="shared" ref="B73:B107" si="3">B72+1</f>
        <v>66</v>
      </c>
      <c r="C73" s="1">
        <v>1.3403999999999999E-2</v>
      </c>
      <c r="D73" s="1">
        <f t="shared" si="2"/>
        <v>0.98659600000000003</v>
      </c>
      <c r="F73" s="1"/>
    </row>
    <row r="74" spans="2:6" x14ac:dyDescent="0.3">
      <c r="B74">
        <f t="shared" si="3"/>
        <v>67</v>
      </c>
      <c r="C74" s="1">
        <v>1.4795000000000001E-2</v>
      </c>
      <c r="D74" s="1">
        <f t="shared" si="2"/>
        <v>0.985205</v>
      </c>
      <c r="F74" s="1"/>
    </row>
    <row r="75" spans="2:6" x14ac:dyDescent="0.3">
      <c r="B75">
        <f t="shared" si="3"/>
        <v>68</v>
      </c>
      <c r="C75" s="1">
        <v>1.6279999999999999E-2</v>
      </c>
      <c r="D75" s="1">
        <f t="shared" si="2"/>
        <v>0.98372000000000004</v>
      </c>
      <c r="F75" s="1"/>
    </row>
    <row r="76" spans="2:6" x14ac:dyDescent="0.3">
      <c r="B76">
        <f t="shared" si="3"/>
        <v>69</v>
      </c>
      <c r="C76" s="1">
        <v>1.7595E-2</v>
      </c>
      <c r="D76" s="1">
        <f t="shared" si="2"/>
        <v>0.98240499999999997</v>
      </c>
      <c r="F76" s="1"/>
    </row>
    <row r="77" spans="2:6" x14ac:dyDescent="0.3">
      <c r="B77">
        <f t="shared" si="3"/>
        <v>70</v>
      </c>
      <c r="C77" s="1">
        <v>1.9526999999999999E-2</v>
      </c>
      <c r="D77" s="1">
        <f t="shared" si="2"/>
        <v>0.98047300000000004</v>
      </c>
      <c r="F77" s="1"/>
    </row>
    <row r="78" spans="2:6" x14ac:dyDescent="0.3">
      <c r="B78">
        <f t="shared" si="3"/>
        <v>71</v>
      </c>
      <c r="C78" s="1">
        <v>2.1506000000000001E-2</v>
      </c>
      <c r="D78" s="1">
        <f t="shared" si="2"/>
        <v>0.97849399999999997</v>
      </c>
      <c r="F78" s="1"/>
    </row>
    <row r="79" spans="2:6" x14ac:dyDescent="0.3">
      <c r="B79">
        <f t="shared" si="3"/>
        <v>72</v>
      </c>
      <c r="C79" s="1">
        <v>2.3614E-2</v>
      </c>
      <c r="D79" s="1">
        <f t="shared" si="2"/>
        <v>0.97638599999999998</v>
      </c>
      <c r="F79" s="1"/>
    </row>
    <row r="80" spans="2:6" x14ac:dyDescent="0.3">
      <c r="B80">
        <f t="shared" si="3"/>
        <v>73</v>
      </c>
      <c r="C80" s="1">
        <v>2.5472999999999999E-2</v>
      </c>
      <c r="D80" s="1">
        <f t="shared" si="2"/>
        <v>0.97452700000000003</v>
      </c>
      <c r="F80" s="1"/>
    </row>
    <row r="81" spans="2:6" x14ac:dyDescent="0.3">
      <c r="B81">
        <f t="shared" si="3"/>
        <v>74</v>
      </c>
      <c r="C81" s="1">
        <v>2.7789000000000001E-2</v>
      </c>
      <c r="D81" s="1">
        <f t="shared" si="2"/>
        <v>0.97221100000000005</v>
      </c>
      <c r="F81" s="1"/>
    </row>
    <row r="82" spans="2:6" x14ac:dyDescent="0.3">
      <c r="B82">
        <f t="shared" si="3"/>
        <v>75</v>
      </c>
      <c r="C82" s="1">
        <v>3.0318999999999999E-2</v>
      </c>
      <c r="D82" s="1">
        <f t="shared" si="2"/>
        <v>0.96968100000000002</v>
      </c>
      <c r="F82" s="1"/>
    </row>
    <row r="83" spans="2:6" x14ac:dyDescent="0.3">
      <c r="B83">
        <f t="shared" si="3"/>
        <v>76</v>
      </c>
      <c r="C83" s="1">
        <v>3.3748E-2</v>
      </c>
      <c r="D83" s="1">
        <f t="shared" si="2"/>
        <v>0.966252</v>
      </c>
      <c r="F83" s="1"/>
    </row>
    <row r="84" spans="2:6" x14ac:dyDescent="0.3">
      <c r="B84">
        <f t="shared" si="3"/>
        <v>77</v>
      </c>
      <c r="C84" s="1">
        <v>3.7142000000000001E-2</v>
      </c>
      <c r="D84" s="1">
        <f t="shared" si="2"/>
        <v>0.96285799999999999</v>
      </c>
      <c r="F84" s="1"/>
    </row>
    <row r="85" spans="2:6" x14ac:dyDescent="0.3">
      <c r="B85">
        <f t="shared" si="3"/>
        <v>78</v>
      </c>
      <c r="C85" s="1">
        <v>4.2361000000000003E-2</v>
      </c>
      <c r="D85" s="1">
        <f t="shared" si="2"/>
        <v>0.95763900000000002</v>
      </c>
      <c r="F85" s="1"/>
    </row>
    <row r="86" spans="2:6" x14ac:dyDescent="0.3">
      <c r="B86">
        <f t="shared" si="3"/>
        <v>79</v>
      </c>
      <c r="C86" s="1">
        <v>4.6880999999999999E-2</v>
      </c>
      <c r="D86" s="1">
        <f t="shared" si="2"/>
        <v>0.95311900000000005</v>
      </c>
      <c r="F86" s="1"/>
    </row>
    <row r="87" spans="2:6" x14ac:dyDescent="0.3">
      <c r="B87">
        <f t="shared" si="3"/>
        <v>80</v>
      </c>
      <c r="C87" s="1">
        <v>5.2664999999999997E-2</v>
      </c>
      <c r="D87" s="1">
        <f t="shared" si="2"/>
        <v>0.94733500000000004</v>
      </c>
      <c r="F87" s="1"/>
    </row>
    <row r="88" spans="2:6" x14ac:dyDescent="0.3">
      <c r="B88">
        <f t="shared" si="3"/>
        <v>81</v>
      </c>
      <c r="C88" s="1">
        <v>5.9665999999999997E-2</v>
      </c>
      <c r="D88" s="1">
        <f t="shared" si="2"/>
        <v>0.940334</v>
      </c>
      <c r="F88" s="1"/>
    </row>
    <row r="89" spans="2:6" x14ac:dyDescent="0.3">
      <c r="B89">
        <f t="shared" si="3"/>
        <v>82</v>
      </c>
      <c r="C89" s="1">
        <v>6.7996000000000001E-2</v>
      </c>
      <c r="D89" s="1">
        <f t="shared" si="2"/>
        <v>0.93200400000000005</v>
      </c>
      <c r="F89" s="1"/>
    </row>
    <row r="90" spans="2:6" x14ac:dyDescent="0.3">
      <c r="B90">
        <f t="shared" si="3"/>
        <v>83</v>
      </c>
      <c r="C90" s="1">
        <v>7.5244000000000005E-2</v>
      </c>
      <c r="D90" s="1">
        <f t="shared" si="2"/>
        <v>0.92475600000000002</v>
      </c>
      <c r="F90" s="1"/>
    </row>
    <row r="91" spans="2:6" x14ac:dyDescent="0.3">
      <c r="B91">
        <f t="shared" si="3"/>
        <v>84</v>
      </c>
      <c r="C91" s="1">
        <v>8.4093000000000001E-2</v>
      </c>
      <c r="D91" s="1">
        <f t="shared" si="2"/>
        <v>0.91590700000000003</v>
      </c>
      <c r="F91" s="1"/>
    </row>
    <row r="92" spans="2:6" x14ac:dyDescent="0.3">
      <c r="B92">
        <f t="shared" si="3"/>
        <v>85</v>
      </c>
      <c r="C92" s="1">
        <v>9.3856999999999996E-2</v>
      </c>
      <c r="D92" s="1">
        <f t="shared" si="2"/>
        <v>0.90614300000000003</v>
      </c>
      <c r="F92" s="1"/>
    </row>
    <row r="93" spans="2:6" x14ac:dyDescent="0.3">
      <c r="B93">
        <f t="shared" si="3"/>
        <v>86</v>
      </c>
      <c r="C93" s="1">
        <v>0.105364</v>
      </c>
      <c r="D93" s="1">
        <f t="shared" si="2"/>
        <v>0.89463599999999999</v>
      </c>
      <c r="F93" s="1"/>
    </row>
    <row r="94" spans="2:6" x14ac:dyDescent="0.3">
      <c r="B94">
        <f t="shared" si="3"/>
        <v>87</v>
      </c>
      <c r="C94" s="1">
        <v>0.117996</v>
      </c>
      <c r="D94" s="1">
        <f t="shared" si="2"/>
        <v>0.88200400000000001</v>
      </c>
      <c r="F94" s="1"/>
    </row>
    <row r="95" spans="2:6" x14ac:dyDescent="0.3">
      <c r="B95">
        <f t="shared" si="3"/>
        <v>88</v>
      </c>
      <c r="C95" s="1">
        <v>0.133099</v>
      </c>
      <c r="D95" s="1">
        <f t="shared" si="2"/>
        <v>0.86690100000000003</v>
      </c>
      <c r="F95" s="1"/>
    </row>
    <row r="96" spans="2:6" x14ac:dyDescent="0.3">
      <c r="B96">
        <f t="shared" si="3"/>
        <v>89</v>
      </c>
      <c r="C96" s="1">
        <v>0.149453</v>
      </c>
      <c r="D96" s="1">
        <f t="shared" si="2"/>
        <v>0.85054699999999994</v>
      </c>
      <c r="F96" s="1"/>
    </row>
    <row r="97" spans="2:6" x14ac:dyDescent="0.3">
      <c r="B97">
        <f t="shared" si="3"/>
        <v>90</v>
      </c>
      <c r="C97" s="1">
        <v>0.166653</v>
      </c>
      <c r="D97" s="1">
        <f t="shared" si="2"/>
        <v>0.83334700000000006</v>
      </c>
      <c r="F97" s="1"/>
    </row>
    <row r="98" spans="2:6" x14ac:dyDescent="0.3">
      <c r="B98">
        <f t="shared" si="3"/>
        <v>91</v>
      </c>
      <c r="C98" s="1">
        <v>0.184008</v>
      </c>
      <c r="D98" s="1">
        <f t="shared" si="2"/>
        <v>0.81599200000000005</v>
      </c>
      <c r="F98" s="1"/>
    </row>
    <row r="99" spans="2:6" x14ac:dyDescent="0.3">
      <c r="B99">
        <f t="shared" si="3"/>
        <v>92</v>
      </c>
      <c r="C99" s="1">
        <v>0.20582</v>
      </c>
      <c r="D99" s="1">
        <f t="shared" si="2"/>
        <v>0.79418</v>
      </c>
      <c r="F99" s="1"/>
    </row>
    <row r="100" spans="2:6" x14ac:dyDescent="0.3">
      <c r="B100">
        <f t="shared" si="3"/>
        <v>93</v>
      </c>
      <c r="C100" s="1">
        <v>0.225915</v>
      </c>
      <c r="D100" s="1">
        <f t="shared" si="2"/>
        <v>0.77408500000000002</v>
      </c>
      <c r="F100" s="1"/>
    </row>
    <row r="101" spans="2:6" x14ac:dyDescent="0.3">
      <c r="B101">
        <f t="shared" si="3"/>
        <v>94</v>
      </c>
      <c r="C101" s="1">
        <v>0.248779</v>
      </c>
      <c r="D101" s="1">
        <f t="shared" si="2"/>
        <v>0.75122100000000003</v>
      </c>
      <c r="F101" s="1"/>
    </row>
    <row r="102" spans="2:6" x14ac:dyDescent="0.3">
      <c r="B102">
        <f t="shared" si="3"/>
        <v>95</v>
      </c>
      <c r="C102" s="1">
        <v>0.271233</v>
      </c>
      <c r="D102" s="1">
        <f t="shared" si="2"/>
        <v>0.72876699999999994</v>
      </c>
      <c r="F102" s="1"/>
    </row>
    <row r="103" spans="2:6" x14ac:dyDescent="0.3">
      <c r="B103">
        <f t="shared" si="3"/>
        <v>96</v>
      </c>
      <c r="C103" s="1">
        <v>0.29336000000000001</v>
      </c>
      <c r="D103" s="1">
        <f t="shared" si="2"/>
        <v>0.70663999999999993</v>
      </c>
      <c r="F103" s="1"/>
    </row>
    <row r="104" spans="2:6" x14ac:dyDescent="0.3">
      <c r="B104">
        <f t="shared" si="3"/>
        <v>97</v>
      </c>
      <c r="C104" s="1">
        <v>0.32268599999999997</v>
      </c>
      <c r="D104" s="1">
        <f t="shared" si="2"/>
        <v>0.67731399999999997</v>
      </c>
      <c r="F104" s="1"/>
    </row>
    <row r="105" spans="2:6" x14ac:dyDescent="0.3">
      <c r="B105">
        <f t="shared" si="3"/>
        <v>98</v>
      </c>
      <c r="C105" s="1">
        <v>0.34122999999999998</v>
      </c>
      <c r="D105" s="1">
        <f t="shared" si="2"/>
        <v>0.65877000000000008</v>
      </c>
      <c r="F105" s="1"/>
    </row>
    <row r="106" spans="2:6" x14ac:dyDescent="0.3">
      <c r="B106">
        <f t="shared" si="3"/>
        <v>99</v>
      </c>
      <c r="C106" s="1">
        <v>0.36504199999999998</v>
      </c>
      <c r="D106" s="1">
        <f t="shared" si="2"/>
        <v>0.63495800000000002</v>
      </c>
      <c r="F106" s="1"/>
    </row>
    <row r="107" spans="2:6" x14ac:dyDescent="0.3">
      <c r="B107">
        <f t="shared" si="3"/>
        <v>100</v>
      </c>
      <c r="C107" s="1">
        <v>0.40248899999999999</v>
      </c>
      <c r="D107" s="1">
        <f t="shared" si="2"/>
        <v>0.59751100000000001</v>
      </c>
      <c r="F10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3658-00DD-43B1-9111-D2BA961EB719}">
  <dimension ref="C2:AL88"/>
  <sheetViews>
    <sheetView zoomScale="77" zoomScaleNormal="125" zoomScalePageLayoutView="52" workbookViewId="0">
      <selection activeCell="AB12" sqref="AB12"/>
    </sheetView>
  </sheetViews>
  <sheetFormatPr defaultRowHeight="14.4" x14ac:dyDescent="0.3"/>
  <cols>
    <col min="3" max="3" width="14.44140625" bestFit="1" customWidth="1"/>
    <col min="4" max="4" width="11.5546875" bestFit="1" customWidth="1"/>
    <col min="6" max="6" width="8.88671875" customWidth="1"/>
    <col min="7" max="7" width="11.77734375" bestFit="1" customWidth="1"/>
    <col min="9" max="9" width="12" bestFit="1" customWidth="1"/>
    <col min="10" max="10" width="10.21875" customWidth="1"/>
    <col min="11" max="11" width="8.5546875" customWidth="1"/>
    <col min="12" max="12" width="8.33203125" customWidth="1"/>
    <col min="18" max="18" width="12" bestFit="1" customWidth="1"/>
    <col min="21" max="21" width="12.5546875" bestFit="1" customWidth="1"/>
    <col min="23" max="23" width="9.6640625" bestFit="1" customWidth="1"/>
    <col min="24" max="24" width="9.6640625" customWidth="1"/>
    <col min="25" max="25" width="13.88671875" customWidth="1"/>
  </cols>
  <sheetData>
    <row r="2" spans="3:38" x14ac:dyDescent="0.3">
      <c r="C2" s="6" t="s">
        <v>3</v>
      </c>
      <c r="D2">
        <f>Assumptions!B6</f>
        <v>100000</v>
      </c>
      <c r="G2" s="6" t="s">
        <v>4</v>
      </c>
      <c r="H2" s="4">
        <f>Assumptions!B7</f>
        <v>0.06</v>
      </c>
      <c r="I2" s="4"/>
      <c r="J2" s="4"/>
      <c r="K2" s="4"/>
      <c r="L2" s="4"/>
      <c r="S2" s="6" t="s">
        <v>29</v>
      </c>
      <c r="T2" s="22">
        <v>1273.1079354377571</v>
      </c>
      <c r="V2" t="s">
        <v>36</v>
      </c>
    </row>
    <row r="3" spans="3:38" x14ac:dyDescent="0.3">
      <c r="C3" s="6" t="s">
        <v>17</v>
      </c>
      <c r="D3">
        <f>Assumptions!B6*Assumptions!B9</f>
        <v>500</v>
      </c>
      <c r="G3" s="6" t="s">
        <v>41</v>
      </c>
      <c r="H3">
        <f>1/(1+$H$2)</f>
        <v>0.94339622641509424</v>
      </c>
      <c r="S3" t="s">
        <v>35</v>
      </c>
    </row>
    <row r="4" spans="3:38" x14ac:dyDescent="0.3">
      <c r="C4" s="6" t="s">
        <v>28</v>
      </c>
      <c r="D4">
        <f>SUM(D2:D3)</f>
        <v>100500</v>
      </c>
      <c r="G4" s="4"/>
      <c r="S4" t="s">
        <v>37</v>
      </c>
      <c r="Y4" s="24">
        <f>X60+M60</f>
        <v>16594.666429711157</v>
      </c>
    </row>
    <row r="5" spans="3:38" x14ac:dyDescent="0.3">
      <c r="D5" s="6"/>
      <c r="G5" s="4"/>
    </row>
    <row r="6" spans="3:38" ht="21" x14ac:dyDescent="0.4">
      <c r="C6" s="32" t="s">
        <v>30</v>
      </c>
      <c r="D6" s="32"/>
      <c r="E6" s="32"/>
      <c r="F6" s="32"/>
      <c r="G6" s="32"/>
      <c r="H6" s="32"/>
      <c r="I6" s="32"/>
      <c r="J6" s="32"/>
      <c r="K6" s="32"/>
      <c r="L6" s="32"/>
      <c r="M6" s="32"/>
      <c r="R6" s="32" t="s">
        <v>31</v>
      </c>
      <c r="S6" s="32"/>
      <c r="T6" s="32"/>
      <c r="U6" s="32"/>
      <c r="V6" s="32"/>
      <c r="W6" s="32"/>
      <c r="X6" s="32"/>
      <c r="Y6" s="32"/>
      <c r="Z6" s="6"/>
      <c r="AA6" s="6"/>
      <c r="AB6" s="6"/>
      <c r="AF6" s="31"/>
      <c r="AG6" s="31"/>
      <c r="AH6" s="31"/>
      <c r="AI6" s="31"/>
      <c r="AJ6" s="31"/>
      <c r="AK6" s="31"/>
      <c r="AL6" s="31"/>
    </row>
    <row r="7" spans="3:38" ht="11.4" customHeight="1" x14ac:dyDescent="0.3"/>
    <row r="8" spans="3:38" ht="39.6" customHeight="1" x14ac:dyDescent="0.3">
      <c r="C8" t="s">
        <v>26</v>
      </c>
      <c r="D8" t="s">
        <v>8</v>
      </c>
      <c r="E8" t="s">
        <v>9</v>
      </c>
      <c r="F8" t="s">
        <v>20</v>
      </c>
      <c r="G8" t="str">
        <f>"tp"&amp;D9</f>
        <v>tp35</v>
      </c>
      <c r="H8" s="6" t="str">
        <f>"t-1| q"&amp;D9</f>
        <v>t-1| q35</v>
      </c>
      <c r="I8" s="6" t="s">
        <v>51</v>
      </c>
      <c r="J8" s="8" t="s">
        <v>52</v>
      </c>
      <c r="K8" s="8" t="s">
        <v>53</v>
      </c>
      <c r="L8" s="8" t="s">
        <v>54</v>
      </c>
      <c r="M8" s="6" t="s">
        <v>27</v>
      </c>
      <c r="R8" t="str">
        <f>C8</f>
        <v>Policy year (t)</v>
      </c>
      <c r="S8" t="str">
        <f>D8</f>
        <v>Age (x)</v>
      </c>
      <c r="T8" t="s">
        <v>32</v>
      </c>
      <c r="U8" t="s">
        <v>33</v>
      </c>
      <c r="V8" t="str">
        <f>G8</f>
        <v>tp35</v>
      </c>
      <c r="W8" t="s">
        <v>55</v>
      </c>
      <c r="X8" s="8" t="s">
        <v>34</v>
      </c>
      <c r="Y8" s="8" t="s">
        <v>42</v>
      </c>
    </row>
    <row r="9" spans="3:38" x14ac:dyDescent="0.3">
      <c r="C9">
        <v>1</v>
      </c>
      <c r="D9">
        <f>Assumptions!B3</f>
        <v>35</v>
      </c>
      <c r="E9" s="2">
        <f>VLOOKUP(D9,Mortality_Table!B7:D107,2,0)</f>
        <v>1.1100000000000001E-3</v>
      </c>
      <c r="F9" s="2">
        <f>IF(E9=0,0,1-E9)</f>
        <v>0.99888999999999994</v>
      </c>
      <c r="G9" s="2">
        <f>F9</f>
        <v>0.99888999999999994</v>
      </c>
      <c r="H9" s="2">
        <f>E9</f>
        <v>1.1100000000000001E-3</v>
      </c>
      <c r="I9" s="13">
        <f>Assumptions!B6</f>
        <v>100000</v>
      </c>
      <c r="J9" s="13">
        <f>Assumptions!$B$9*Assumptions!B6</f>
        <v>500</v>
      </c>
      <c r="K9" s="5">
        <f>Assumptions!$B$7</f>
        <v>0.06</v>
      </c>
      <c r="L9" s="2">
        <f>1/(1+K9)</f>
        <v>0.94339622641509424</v>
      </c>
      <c r="M9" s="13">
        <f>(I9+J9)*H9*L9^C9</f>
        <v>105.24056603773585</v>
      </c>
      <c r="R9">
        <f>C9</f>
        <v>1</v>
      </c>
      <c r="S9">
        <f>D9</f>
        <v>35</v>
      </c>
      <c r="T9" s="13">
        <f>Assumptions!B8</f>
        <v>1000</v>
      </c>
      <c r="U9" s="13">
        <f>Assumptions!$B$10*Pricing_Model!$T$2</f>
        <v>25.46215870875514</v>
      </c>
      <c r="V9" s="2">
        <f t="shared" ref="V9:V58" si="0">G9</f>
        <v>0.99888999999999994</v>
      </c>
      <c r="W9" s="13">
        <f>T2</f>
        <v>1273.1079354377571</v>
      </c>
      <c r="X9" s="13">
        <f>(T9)</f>
        <v>1000</v>
      </c>
      <c r="Y9" s="13">
        <f>W9-U9</f>
        <v>1247.6457767290019</v>
      </c>
    </row>
    <row r="10" spans="3:38" x14ac:dyDescent="0.3">
      <c r="C10">
        <f>C9+1</f>
        <v>2</v>
      </c>
      <c r="D10">
        <f>D9+1</f>
        <v>36</v>
      </c>
      <c r="E10" s="2">
        <f>VLOOKUP(D10,Mortality_Table!B8:D108,2,0)</f>
        <v>1.2329999999999999E-3</v>
      </c>
      <c r="F10" s="2">
        <f t="shared" ref="F10:F58" si="1">IF(E10=0,0,1-E10)</f>
        <v>0.99876699999999996</v>
      </c>
      <c r="G10" s="2">
        <f>G9*F10</f>
        <v>0.9976583686299999</v>
      </c>
      <c r="H10" s="2">
        <f>G9*E10</f>
        <v>1.2316313699999998E-3</v>
      </c>
      <c r="I10" s="13">
        <f>IF(C10&lt;=Assumptions!$B$5,Pricing_Model!I9,0)</f>
        <v>100000</v>
      </c>
      <c r="J10" s="13">
        <f>IF(C10&lt;=Assumptions!$B$5,Pricing_Model!J9,0)</f>
        <v>500</v>
      </c>
      <c r="K10" s="5">
        <f>K9</f>
        <v>0.06</v>
      </c>
      <c r="L10" s="2">
        <f t="shared" ref="L10:L58" si="2">1/(1+K10)</f>
        <v>0.94339622641509424</v>
      </c>
      <c r="M10" s="13">
        <f t="shared" ref="M10:M58" si="3">(I10+J10)*H10*L10^C10</f>
        <v>110.16282723834099</v>
      </c>
      <c r="R10">
        <f t="shared" ref="R10:R58" si="4">C10</f>
        <v>2</v>
      </c>
      <c r="S10">
        <f t="shared" ref="S10:S58" si="5">D10</f>
        <v>36</v>
      </c>
      <c r="T10" s="13">
        <f>IF(R10&lt;=Assumptions!$B$5,Pricing_Model!T9,0)</f>
        <v>1000</v>
      </c>
      <c r="U10" s="13">
        <f>IF(R10&lt;=Assumptions!$B$5,Pricing_Model!U9,0)</f>
        <v>25.46215870875514</v>
      </c>
      <c r="V10" s="2">
        <f t="shared" si="0"/>
        <v>0.9976583686299999</v>
      </c>
      <c r="W10" s="13">
        <f>IF(R10&lt;=Assumptions!$B$5,Pricing_Model!W9,0)</f>
        <v>1273.1079354377571</v>
      </c>
      <c r="X10" s="13">
        <f t="shared" ref="X10:X41" si="6">(T10)*V9*L10^R9</f>
        <v>942.34905660377342</v>
      </c>
      <c r="Y10" s="13">
        <f>(W10-U10)*V9*L10^R9</f>
        <v>1175.7178206762571</v>
      </c>
    </row>
    <row r="11" spans="3:38" x14ac:dyDescent="0.3">
      <c r="C11">
        <f t="shared" ref="C11:D58" si="7">C10+1</f>
        <v>3</v>
      </c>
      <c r="D11">
        <f t="shared" si="7"/>
        <v>37</v>
      </c>
      <c r="E11" s="2">
        <f>VLOOKUP(D11,Mortality_Table!B9:D109,2,0)</f>
        <v>1.305E-3</v>
      </c>
      <c r="F11" s="2">
        <f t="shared" si="1"/>
        <v>0.998695</v>
      </c>
      <c r="G11" s="2">
        <f t="shared" ref="G11:G58" si="8">G10*F11</f>
        <v>0.99635642445893779</v>
      </c>
      <c r="H11" s="2">
        <f t="shared" ref="H11:H58" si="9">G10*E11</f>
        <v>1.3019441710621499E-3</v>
      </c>
      <c r="I11" s="13">
        <f>IF(C11&lt;=Assumptions!$B$5,Pricing_Model!I10,0)</f>
        <v>100000</v>
      </c>
      <c r="J11" s="13">
        <f>IF(C11&lt;=Assumptions!$B$5,Pricing_Model!J10,0)</f>
        <v>500</v>
      </c>
      <c r="K11" s="5">
        <f t="shared" ref="K11:K58" si="10">K10</f>
        <v>0.06</v>
      </c>
      <c r="L11" s="2">
        <f t="shared" si="2"/>
        <v>0.94339622641509424</v>
      </c>
      <c r="M11" s="13">
        <f t="shared" si="3"/>
        <v>109.86031186125626</v>
      </c>
      <c r="R11">
        <f t="shared" si="4"/>
        <v>3</v>
      </c>
      <c r="S11">
        <f t="shared" si="5"/>
        <v>37</v>
      </c>
      <c r="T11" s="13">
        <f>IF(R11&lt;=Assumptions!$B$5,Pricing_Model!T10,0)</f>
        <v>1000</v>
      </c>
      <c r="U11" s="13">
        <f>IF(R11&lt;=Assumptions!$B$5,Pricing_Model!U10,0)</f>
        <v>25.46215870875514</v>
      </c>
      <c r="V11" s="2">
        <f t="shared" si="0"/>
        <v>0.99635642445893779</v>
      </c>
      <c r="W11" s="13">
        <f>IF(R11&lt;=Assumptions!$B$5,Pricing_Model!W10,0)</f>
        <v>1273.1079354377571</v>
      </c>
      <c r="X11" s="13">
        <f t="shared" si="6"/>
        <v>887.91239643111396</v>
      </c>
      <c r="Y11" s="13">
        <f t="shared" ref="Y11:Y58" si="11">(W11-U11)*V10*L11^R10</f>
        <v>1107.8001515126068</v>
      </c>
    </row>
    <row r="12" spans="3:38" x14ac:dyDescent="0.3">
      <c r="C12">
        <f t="shared" si="7"/>
        <v>4</v>
      </c>
      <c r="D12">
        <f t="shared" si="7"/>
        <v>38</v>
      </c>
      <c r="E12" s="2">
        <f>VLOOKUP(D12,Mortality_Table!B10:D110,2,0)</f>
        <v>1.3699999999999999E-3</v>
      </c>
      <c r="F12" s="2">
        <f t="shared" si="1"/>
        <v>0.99863000000000002</v>
      </c>
      <c r="G12" s="2">
        <f t="shared" si="8"/>
        <v>0.99499141615742903</v>
      </c>
      <c r="H12" s="2">
        <f t="shared" si="9"/>
        <v>1.3650083015087446E-3</v>
      </c>
      <c r="I12" s="13">
        <f>IF(C12&lt;=Assumptions!$B$5,Pricing_Model!I11,0)</f>
        <v>100000</v>
      </c>
      <c r="J12" s="13">
        <f>IF(C12&lt;=Assumptions!$B$5,Pricing_Model!J11,0)</f>
        <v>500</v>
      </c>
      <c r="K12" s="5">
        <f t="shared" si="10"/>
        <v>0.06</v>
      </c>
      <c r="L12" s="2">
        <f t="shared" si="2"/>
        <v>0.94339622641509424</v>
      </c>
      <c r="M12" s="13">
        <f t="shared" si="3"/>
        <v>108.66204980218313</v>
      </c>
      <c r="R12">
        <f t="shared" si="4"/>
        <v>4</v>
      </c>
      <c r="S12">
        <f t="shared" si="5"/>
        <v>38</v>
      </c>
      <c r="T12" s="13">
        <f>IF(R12&lt;=Assumptions!$B$5,Pricing_Model!T11,0)</f>
        <v>1000</v>
      </c>
      <c r="U12" s="13">
        <f>IF(R12&lt;=Assumptions!$B$5,Pricing_Model!U11,0)</f>
        <v>25.46215870875514</v>
      </c>
      <c r="V12" s="2">
        <f t="shared" si="0"/>
        <v>0.99499141615742903</v>
      </c>
      <c r="W12" s="13">
        <f>IF(R12&lt;=Assumptions!$B$5,Pricing_Model!W11,0)</f>
        <v>1273.1079354377571</v>
      </c>
      <c r="X12" s="13">
        <f t="shared" si="6"/>
        <v>836.56006674884077</v>
      </c>
      <c r="Y12" s="13">
        <f t="shared" si="11"/>
        <v>1043.7306342593231</v>
      </c>
      <c r="AB12" s="27"/>
    </row>
    <row r="13" spans="3:38" x14ac:dyDescent="0.3">
      <c r="C13">
        <f t="shared" si="7"/>
        <v>5</v>
      </c>
      <c r="D13">
        <f t="shared" si="7"/>
        <v>39</v>
      </c>
      <c r="E13" s="2">
        <f>VLOOKUP(D13,Mortality_Table!B11:D111,2,0)</f>
        <v>1.5169999999999999E-3</v>
      </c>
      <c r="F13" s="2">
        <f t="shared" si="1"/>
        <v>0.99848300000000001</v>
      </c>
      <c r="G13" s="2">
        <f t="shared" si="8"/>
        <v>0.99348201417911819</v>
      </c>
      <c r="H13" s="2">
        <f t="shared" si="9"/>
        <v>1.5094019783108198E-3</v>
      </c>
      <c r="I13" s="13">
        <f>IF(C13&lt;=Assumptions!$B$5,Pricing_Model!I12,0)</f>
        <v>100000</v>
      </c>
      <c r="J13" s="13">
        <f>IF(C13&lt;=Assumptions!$B$5,Pricing_Model!J12,0)</f>
        <v>500</v>
      </c>
      <c r="K13" s="5">
        <f t="shared" si="10"/>
        <v>0.06</v>
      </c>
      <c r="L13" s="2">
        <f t="shared" si="2"/>
        <v>0.94339622641509424</v>
      </c>
      <c r="M13" s="13">
        <f t="shared" si="3"/>
        <v>113.35525292551195</v>
      </c>
      <c r="R13">
        <f t="shared" si="4"/>
        <v>5</v>
      </c>
      <c r="S13">
        <f t="shared" si="5"/>
        <v>39</v>
      </c>
      <c r="T13" s="13">
        <f>IF(R13&lt;=Assumptions!$B$5,Pricing_Model!T12,0)</f>
        <v>1000</v>
      </c>
      <c r="U13" s="13">
        <f>IF(R13&lt;=Assumptions!$B$5,Pricing_Model!U12,0)</f>
        <v>25.46215870875514</v>
      </c>
      <c r="V13" s="2">
        <f t="shared" si="0"/>
        <v>0.99348201417911819</v>
      </c>
      <c r="W13" s="13">
        <f>IF(R13&lt;=Assumptions!$B$5,Pricing_Model!W12,0)</f>
        <v>1273.1079354377571</v>
      </c>
      <c r="X13" s="13">
        <f t="shared" si="6"/>
        <v>788.12639571452348</v>
      </c>
      <c r="Y13" s="13">
        <f t="shared" si="11"/>
        <v>983.30256914187532</v>
      </c>
    </row>
    <row r="14" spans="3:38" x14ac:dyDescent="0.3">
      <c r="C14">
        <f t="shared" si="7"/>
        <v>6</v>
      </c>
      <c r="D14">
        <f t="shared" si="7"/>
        <v>40</v>
      </c>
      <c r="E14" s="2">
        <f>VLOOKUP(D14,Mortality_Table!B12:D112,2,0)</f>
        <v>1.681E-3</v>
      </c>
      <c r="F14" s="2">
        <f t="shared" si="1"/>
        <v>0.99831899999999996</v>
      </c>
      <c r="G14" s="2">
        <f t="shared" si="8"/>
        <v>0.9918119709132831</v>
      </c>
      <c r="H14" s="2">
        <f t="shared" si="9"/>
        <v>1.6700432658350976E-3</v>
      </c>
      <c r="I14" s="13">
        <f>IF(C14&lt;=Assumptions!$B$5,Pricing_Model!I13,0)</f>
        <v>100000</v>
      </c>
      <c r="J14" s="13">
        <f>IF(C14&lt;=Assumptions!$B$5,Pricing_Model!J13,0)</f>
        <v>500</v>
      </c>
      <c r="K14" s="5">
        <f t="shared" si="10"/>
        <v>0.06</v>
      </c>
      <c r="L14" s="2">
        <f t="shared" si="2"/>
        <v>0.94339622641509424</v>
      </c>
      <c r="M14" s="13">
        <f t="shared" si="3"/>
        <v>118.32011762569557</v>
      </c>
      <c r="R14">
        <f t="shared" si="4"/>
        <v>6</v>
      </c>
      <c r="S14">
        <f t="shared" si="5"/>
        <v>40</v>
      </c>
      <c r="T14" s="13">
        <f>IF(R14&lt;=Assumptions!$B$5,Pricing_Model!T13,0)</f>
        <v>1000</v>
      </c>
      <c r="U14" s="13">
        <f>IF(R14&lt;=Assumptions!$B$5,Pricing_Model!U13,0)</f>
        <v>25.46215870875514</v>
      </c>
      <c r="V14" s="2">
        <f t="shared" si="0"/>
        <v>0.9918119709132831</v>
      </c>
      <c r="W14" s="13">
        <f>IF(R14&lt;=Assumptions!$B$5,Pricing_Model!W13,0)</f>
        <v>1273.1079354377571</v>
      </c>
      <c r="X14" s="13">
        <f t="shared" si="6"/>
        <v>742.38755469077773</v>
      </c>
      <c r="Y14" s="13">
        <f t="shared" si="11"/>
        <v>926.23669730611982</v>
      </c>
    </row>
    <row r="15" spans="3:38" x14ac:dyDescent="0.3">
      <c r="C15">
        <f t="shared" si="7"/>
        <v>7</v>
      </c>
      <c r="D15">
        <f t="shared" si="7"/>
        <v>41</v>
      </c>
      <c r="E15" s="2">
        <f>VLOOKUP(D15,Mortality_Table!B13:D113,2,0)</f>
        <v>1.8079999999999999E-3</v>
      </c>
      <c r="F15" s="2">
        <f t="shared" si="1"/>
        <v>0.99819199999999997</v>
      </c>
      <c r="G15" s="2">
        <f t="shared" si="8"/>
        <v>0.99001877486987189</v>
      </c>
      <c r="H15" s="2">
        <f t="shared" si="9"/>
        <v>1.7931960434112158E-3</v>
      </c>
      <c r="I15" s="13">
        <f>IF(C15&lt;=Assumptions!$B$5,Pricing_Model!I14,0)</f>
        <v>100000</v>
      </c>
      <c r="J15" s="13">
        <f>IF(C15&lt;=Assumptions!$B$5,Pricing_Model!J14,0)</f>
        <v>500</v>
      </c>
      <c r="K15" s="5">
        <f t="shared" si="10"/>
        <v>0.06</v>
      </c>
      <c r="L15" s="2">
        <f t="shared" si="2"/>
        <v>0.94339622641509424</v>
      </c>
      <c r="M15" s="13">
        <f t="shared" si="3"/>
        <v>119.8540673714006</v>
      </c>
      <c r="R15">
        <f t="shared" si="4"/>
        <v>7</v>
      </c>
      <c r="S15">
        <f t="shared" si="5"/>
        <v>41</v>
      </c>
      <c r="T15" s="13">
        <f>IF(R15&lt;=Assumptions!$B$5,Pricing_Model!T14,0)</f>
        <v>1000</v>
      </c>
      <c r="U15" s="13">
        <f>IF(R15&lt;=Assumptions!$B$5,Pricing_Model!U14,0)</f>
        <v>25.46215870875514</v>
      </c>
      <c r="V15" s="2">
        <f t="shared" si="0"/>
        <v>0.99001877486987189</v>
      </c>
      <c r="W15" s="13">
        <f>IF(R15&lt;=Assumptions!$B$5,Pricing_Model!W14,0)</f>
        <v>1273.1079354377571</v>
      </c>
      <c r="X15" s="13">
        <f t="shared" si="6"/>
        <v>699.18830302956826</v>
      </c>
      <c r="Y15" s="13">
        <f t="shared" si="11"/>
        <v>872.33933341315856</v>
      </c>
    </row>
    <row r="16" spans="3:38" x14ac:dyDescent="0.3">
      <c r="C16">
        <f t="shared" si="7"/>
        <v>8</v>
      </c>
      <c r="D16">
        <f t="shared" si="7"/>
        <v>42</v>
      </c>
      <c r="E16" s="2">
        <f>VLOOKUP(D16,Mortality_Table!B14:D114,2,0)</f>
        <v>1.89E-3</v>
      </c>
      <c r="F16" s="2">
        <f t="shared" si="1"/>
        <v>0.99811000000000005</v>
      </c>
      <c r="G16" s="2">
        <f t="shared" si="8"/>
        <v>0.98814763938536787</v>
      </c>
      <c r="H16" s="2">
        <f t="shared" si="9"/>
        <v>1.8711354845040579E-3</v>
      </c>
      <c r="I16" s="13">
        <f>IF(C16&lt;=Assumptions!$B$5,Pricing_Model!I15,0)</f>
        <v>100000</v>
      </c>
      <c r="J16" s="13">
        <f>IF(C16&lt;=Assumptions!$B$5,Pricing_Model!J15,0)</f>
        <v>500</v>
      </c>
      <c r="K16" s="5">
        <f t="shared" si="10"/>
        <v>0.06</v>
      </c>
      <c r="L16" s="2">
        <f t="shared" si="2"/>
        <v>0.94339622641509424</v>
      </c>
      <c r="M16" s="13">
        <f t="shared" si="3"/>
        <v>117.98434191917003</v>
      </c>
      <c r="R16">
        <f t="shared" si="4"/>
        <v>8</v>
      </c>
      <c r="S16">
        <f t="shared" si="5"/>
        <v>42</v>
      </c>
      <c r="T16" s="13">
        <f>IF(R16&lt;=Assumptions!$B$5,Pricing_Model!T15,0)</f>
        <v>1000</v>
      </c>
      <c r="U16" s="13">
        <f>IF(R16&lt;=Assumptions!$B$5,Pricing_Model!U15,0)</f>
        <v>25.46215870875514</v>
      </c>
      <c r="V16" s="2">
        <f t="shared" si="0"/>
        <v>0.98814763938536787</v>
      </c>
      <c r="W16" s="13">
        <f>IF(R16&lt;=Assumptions!$B$5,Pricing_Model!W15,0)</f>
        <v>1273.1079354377571</v>
      </c>
      <c r="X16" s="13">
        <f t="shared" si="6"/>
        <v>658.41902884687806</v>
      </c>
      <c r="Y16" s="13">
        <f t="shared" si="11"/>
        <v>821.47372065881837</v>
      </c>
    </row>
    <row r="17" spans="3:25" x14ac:dyDescent="0.3">
      <c r="C17">
        <f t="shared" si="7"/>
        <v>9</v>
      </c>
      <c r="D17">
        <f t="shared" si="7"/>
        <v>43</v>
      </c>
      <c r="E17" s="2">
        <f>VLOOKUP(D17,Mortality_Table!B15:D115,2,0)</f>
        <v>2.0739999999999999E-3</v>
      </c>
      <c r="F17" s="2">
        <f t="shared" si="1"/>
        <v>0.99792599999999998</v>
      </c>
      <c r="G17" s="2">
        <f t="shared" si="8"/>
        <v>0.98609822118128265</v>
      </c>
      <c r="H17" s="2">
        <f t="shared" si="9"/>
        <v>2.0494182040852529E-3</v>
      </c>
      <c r="I17" s="13">
        <f>IF(C17&lt;=Assumptions!$B$5,Pricing_Model!I16,0)</f>
        <v>100000</v>
      </c>
      <c r="J17" s="13">
        <f>IF(C17&lt;=Assumptions!$B$5,Pricing_Model!J16,0)</f>
        <v>500</v>
      </c>
      <c r="K17" s="5">
        <f t="shared" si="10"/>
        <v>0.06</v>
      </c>
      <c r="L17" s="2">
        <f t="shared" si="2"/>
        <v>0.94339622641509424</v>
      </c>
      <c r="M17" s="13">
        <f t="shared" si="3"/>
        <v>121.91127235591662</v>
      </c>
      <c r="R17">
        <f t="shared" si="4"/>
        <v>9</v>
      </c>
      <c r="S17">
        <f t="shared" si="5"/>
        <v>43</v>
      </c>
      <c r="T17" s="13">
        <f>IF(R17&lt;=Assumptions!$B$5,Pricing_Model!T16,0)</f>
        <v>1000</v>
      </c>
      <c r="U17" s="13">
        <f>IF(R17&lt;=Assumptions!$B$5,Pricing_Model!U16,0)</f>
        <v>25.46215870875514</v>
      </c>
      <c r="V17" s="2">
        <f t="shared" si="0"/>
        <v>0.98609822118128265</v>
      </c>
      <c r="W17" s="13">
        <f>IF(R17&lt;=Assumptions!$B$5,Pricing_Model!W16,0)</f>
        <v>1273.1079354377571</v>
      </c>
      <c r="X17" s="13">
        <f t="shared" si="6"/>
        <v>619.97605366260132</v>
      </c>
      <c r="Y17" s="13">
        <f t="shared" si="11"/>
        <v>773.51050502525754</v>
      </c>
    </row>
    <row r="18" spans="3:25" x14ac:dyDescent="0.3">
      <c r="C18">
        <f t="shared" si="7"/>
        <v>10</v>
      </c>
      <c r="D18">
        <f t="shared" si="7"/>
        <v>44</v>
      </c>
      <c r="E18" s="2">
        <f>VLOOKUP(D18,Mortality_Table!B16:D116,2,0)</f>
        <v>2.1640000000000001E-3</v>
      </c>
      <c r="F18" s="2">
        <f t="shared" si="1"/>
        <v>0.99783599999999995</v>
      </c>
      <c r="G18" s="2">
        <f t="shared" si="8"/>
        <v>0.98396430463064632</v>
      </c>
      <c r="H18" s="2">
        <f t="shared" si="9"/>
        <v>2.1339165506362957E-3</v>
      </c>
      <c r="I18" s="13">
        <f>IF(C18&lt;=Assumptions!$B$5,Pricing_Model!I17,0)</f>
        <v>100000</v>
      </c>
      <c r="J18" s="13">
        <f>IF(C18&lt;=Assumptions!$B$5,Pricing_Model!J17,0)</f>
        <v>500</v>
      </c>
      <c r="K18" s="5">
        <f t="shared" si="10"/>
        <v>0.06</v>
      </c>
      <c r="L18" s="2">
        <f t="shared" si="2"/>
        <v>0.94339622641509424</v>
      </c>
      <c r="M18" s="13">
        <f t="shared" si="3"/>
        <v>119.75256955292716</v>
      </c>
      <c r="R18">
        <f t="shared" si="4"/>
        <v>10</v>
      </c>
      <c r="S18">
        <f t="shared" si="5"/>
        <v>44</v>
      </c>
      <c r="T18" s="13">
        <f>IF(R18&lt;=Assumptions!$B$5,Pricing_Model!T17,0)</f>
        <v>1000</v>
      </c>
      <c r="U18" s="13">
        <f>IF(R18&lt;=Assumptions!$B$5,Pricing_Model!U17,0)</f>
        <v>25.46215870875514</v>
      </c>
      <c r="V18" s="2">
        <f t="shared" si="0"/>
        <v>0.98396430463064632</v>
      </c>
      <c r="W18" s="13">
        <f>IF(R18&lt;=Assumptions!$B$5,Pricing_Model!W17,0)</f>
        <v>1273.1079354377571</v>
      </c>
      <c r="X18" s="13">
        <f t="shared" si="6"/>
        <v>583.6700220068916</v>
      </c>
      <c r="Y18" s="13">
        <f t="shared" si="11"/>
        <v>728.21343796022188</v>
      </c>
    </row>
    <row r="19" spans="3:25" x14ac:dyDescent="0.3">
      <c r="C19">
        <f t="shared" si="7"/>
        <v>11</v>
      </c>
      <c r="D19">
        <f t="shared" si="7"/>
        <v>45</v>
      </c>
      <c r="E19" s="2">
        <f>VLOOKUP(D19,Mortality_Table!B17:D117,2,0)</f>
        <v>2.4329999999999998E-3</v>
      </c>
      <c r="F19" s="2">
        <f t="shared" si="1"/>
        <v>0.99756699999999998</v>
      </c>
      <c r="G19" s="2">
        <f t="shared" si="8"/>
        <v>0.98157031947747997</v>
      </c>
      <c r="H19" s="2">
        <f t="shared" si="9"/>
        <v>2.3939851531663624E-3</v>
      </c>
      <c r="I19" s="13">
        <f>IF(C19&lt;=Assumptions!$B$5,Pricing_Model!I18,0)</f>
        <v>100000</v>
      </c>
      <c r="J19" s="13">
        <f>IF(C19&lt;=Assumptions!$B$5,Pricing_Model!J18,0)</f>
        <v>500</v>
      </c>
      <c r="K19" s="5">
        <f t="shared" si="10"/>
        <v>0.06</v>
      </c>
      <c r="L19" s="2">
        <f t="shared" si="2"/>
        <v>0.94339622641509424</v>
      </c>
      <c r="M19" s="13">
        <f t="shared" si="3"/>
        <v>126.74271222340909</v>
      </c>
      <c r="R19">
        <f t="shared" si="4"/>
        <v>11</v>
      </c>
      <c r="S19">
        <f t="shared" si="5"/>
        <v>45</v>
      </c>
      <c r="T19" s="13">
        <f>IF(R19&lt;=Assumptions!$B$5,Pricing_Model!T18,0)</f>
        <v>1000</v>
      </c>
      <c r="U19" s="13">
        <f>IF(R19&lt;=Assumptions!$B$5,Pricing_Model!U18,0)</f>
        <v>25.46215870875514</v>
      </c>
      <c r="V19" s="2">
        <f t="shared" si="0"/>
        <v>0.98157031947747997</v>
      </c>
      <c r="W19" s="13">
        <f>IF(R19&lt;=Assumptions!$B$5,Pricing_Model!W18,0)</f>
        <v>1273.1079354377571</v>
      </c>
      <c r="X19" s="13">
        <f t="shared" si="6"/>
        <v>549.44052837666845</v>
      </c>
      <c r="Y19" s="13">
        <f t="shared" si="11"/>
        <v>685.50715479290182</v>
      </c>
    </row>
    <row r="20" spans="3:25" x14ac:dyDescent="0.3">
      <c r="C20">
        <f t="shared" si="7"/>
        <v>12</v>
      </c>
      <c r="D20">
        <f t="shared" si="7"/>
        <v>46</v>
      </c>
      <c r="E20" s="2">
        <f>VLOOKUP(D20,Mortality_Table!B18:D118,2,0)</f>
        <v>2.6150000000000001E-3</v>
      </c>
      <c r="F20" s="2">
        <f t="shared" si="1"/>
        <v>0.99738499999999997</v>
      </c>
      <c r="G20" s="2">
        <f t="shared" si="8"/>
        <v>0.97900351309204636</v>
      </c>
      <c r="H20" s="2">
        <f t="shared" si="9"/>
        <v>2.5668063854336104E-3</v>
      </c>
      <c r="I20" s="13">
        <f>IF(C20&lt;=Assumptions!$B$5,Pricing_Model!I19,0)</f>
        <v>100000</v>
      </c>
      <c r="J20" s="13">
        <f>IF(C20&lt;=Assumptions!$B$5,Pricing_Model!J19,0)</f>
        <v>500</v>
      </c>
      <c r="K20" s="5">
        <f t="shared" si="10"/>
        <v>0.06</v>
      </c>
      <c r="L20" s="2">
        <f t="shared" si="2"/>
        <v>0.94339622641509424</v>
      </c>
      <c r="M20" s="13">
        <f t="shared" si="3"/>
        <v>128.20022564732929</v>
      </c>
      <c r="R20">
        <f t="shared" si="4"/>
        <v>12</v>
      </c>
      <c r="S20">
        <f t="shared" si="5"/>
        <v>46</v>
      </c>
      <c r="T20" s="13">
        <f>IF(R20&lt;=Assumptions!$B$5,Pricing_Model!T19,0)</f>
        <v>1000</v>
      </c>
      <c r="U20" s="13">
        <f>IF(R20&lt;=Assumptions!$B$5,Pricing_Model!U19,0)</f>
        <v>25.46215870875514</v>
      </c>
      <c r="V20" s="2">
        <f t="shared" si="0"/>
        <v>0.97900351309204636</v>
      </c>
      <c r="W20" s="13">
        <f>IF(R20&lt;=Assumptions!$B$5,Pricing_Model!W19,0)</f>
        <v>1273.1079354377571</v>
      </c>
      <c r="X20" s="13">
        <f t="shared" si="6"/>
        <v>517.07899959540373</v>
      </c>
      <c r="Y20" s="13">
        <f t="shared" si="11"/>
        <v>645.13143008046279</v>
      </c>
    </row>
    <row r="21" spans="3:25" x14ac:dyDescent="0.3">
      <c r="C21">
        <f t="shared" si="7"/>
        <v>13</v>
      </c>
      <c r="D21">
        <f t="shared" si="7"/>
        <v>47</v>
      </c>
      <c r="E21" s="2">
        <f>VLOOKUP(D21,Mortality_Table!B19:D119,2,0)</f>
        <v>2.8389999999999999E-3</v>
      </c>
      <c r="F21" s="2">
        <f t="shared" si="1"/>
        <v>0.99716099999999996</v>
      </c>
      <c r="G21" s="2">
        <f t="shared" si="8"/>
        <v>0.97622412211837806</v>
      </c>
      <c r="H21" s="2">
        <f t="shared" si="9"/>
        <v>2.7793909736683197E-3</v>
      </c>
      <c r="I21" s="13">
        <f>IF(C21&lt;=Assumptions!$B$5,Pricing_Model!I20,0)</f>
        <v>100000</v>
      </c>
      <c r="J21" s="13">
        <f>IF(C21&lt;=Assumptions!$B$5,Pricing_Model!J20,0)</f>
        <v>500</v>
      </c>
      <c r="K21" s="5">
        <f t="shared" si="10"/>
        <v>0.06</v>
      </c>
      <c r="L21" s="2">
        <f t="shared" si="2"/>
        <v>0.94339622641509424</v>
      </c>
      <c r="M21" s="13">
        <f t="shared" si="3"/>
        <v>130.96023812567751</v>
      </c>
      <c r="R21">
        <f t="shared" si="4"/>
        <v>13</v>
      </c>
      <c r="S21">
        <f t="shared" si="5"/>
        <v>47</v>
      </c>
      <c r="T21" s="13">
        <f>IF(R21&lt;=Assumptions!$B$5,Pricing_Model!T20,0)</f>
        <v>1000</v>
      </c>
      <c r="U21" s="13">
        <f>IF(R21&lt;=Assumptions!$B$5,Pricing_Model!U20,0)</f>
        <v>25.46215870875514</v>
      </c>
      <c r="V21" s="2">
        <f t="shared" si="0"/>
        <v>0.97622412211837806</v>
      </c>
      <c r="W21" s="13">
        <f>IF(R21&lt;=Assumptions!$B$5,Pricing_Model!W20,0)</f>
        <v>1273.1079354377571</v>
      </c>
      <c r="X21" s="13">
        <f t="shared" si="6"/>
        <v>486.53475284100153</v>
      </c>
      <c r="Y21" s="13">
        <f t="shared" si="11"/>
        <v>607.02302961396435</v>
      </c>
    </row>
    <row r="22" spans="3:25" x14ac:dyDescent="0.3">
      <c r="C22">
        <f t="shared" si="7"/>
        <v>14</v>
      </c>
      <c r="D22">
        <f t="shared" si="7"/>
        <v>48</v>
      </c>
      <c r="E22" s="2">
        <f>VLOOKUP(D22,Mortality_Table!B20:D120,2,0)</f>
        <v>3.0569999999999998E-3</v>
      </c>
      <c r="F22" s="2">
        <f t="shared" si="1"/>
        <v>0.99694300000000002</v>
      </c>
      <c r="G22" s="2">
        <f t="shared" si="8"/>
        <v>0.9732398049770622</v>
      </c>
      <c r="H22" s="2">
        <f t="shared" si="9"/>
        <v>2.9843171413158815E-3</v>
      </c>
      <c r="I22" s="13">
        <f>IF(C22&lt;=Assumptions!$B$5,Pricing_Model!I21,0)</f>
        <v>100000</v>
      </c>
      <c r="J22" s="13">
        <f>IF(C22&lt;=Assumptions!$B$5,Pricing_Model!J21,0)</f>
        <v>500</v>
      </c>
      <c r="K22" s="5">
        <f t="shared" si="10"/>
        <v>0.06</v>
      </c>
      <c r="L22" s="2">
        <f t="shared" si="2"/>
        <v>0.94339622641509424</v>
      </c>
      <c r="M22" s="13">
        <f t="shared" si="3"/>
        <v>132.65661813668959</v>
      </c>
      <c r="R22">
        <f t="shared" si="4"/>
        <v>14</v>
      </c>
      <c r="S22">
        <f t="shared" si="5"/>
        <v>48</v>
      </c>
      <c r="T22" s="13">
        <f>IF(R22&lt;=Assumptions!$B$5,Pricing_Model!T21,0)</f>
        <v>1000</v>
      </c>
      <c r="U22" s="13">
        <f>IF(R22&lt;=Assumptions!$B$5,Pricing_Model!U21,0)</f>
        <v>25.46215870875514</v>
      </c>
      <c r="V22" s="2">
        <f t="shared" si="0"/>
        <v>0.9732398049770622</v>
      </c>
      <c r="W22" s="13">
        <f>IF(R22&lt;=Assumptions!$B$5,Pricing_Model!W21,0)</f>
        <v>1273.1079354377571</v>
      </c>
      <c r="X22" s="13">
        <f t="shared" si="6"/>
        <v>457.69196290347736</v>
      </c>
      <c r="Y22" s="13">
        <f t="shared" si="11"/>
        <v>571.03744455933054</v>
      </c>
    </row>
    <row r="23" spans="3:25" x14ac:dyDescent="0.3">
      <c r="C23">
        <f t="shared" si="7"/>
        <v>15</v>
      </c>
      <c r="D23">
        <f t="shared" si="7"/>
        <v>49</v>
      </c>
      <c r="E23" s="2">
        <f>VLOOKUP(D23,Mortality_Table!B21:D121,2,0)</f>
        <v>3.3869999999999998E-3</v>
      </c>
      <c r="F23" s="2">
        <f t="shared" si="1"/>
        <v>0.99661299999999997</v>
      </c>
      <c r="G23" s="2">
        <f t="shared" si="8"/>
        <v>0.96994344175760483</v>
      </c>
      <c r="H23" s="2">
        <f t="shared" si="9"/>
        <v>3.2963632194573096E-3</v>
      </c>
      <c r="I23" s="13">
        <f>IF(C23&lt;=Assumptions!$B$5,Pricing_Model!I22,0)</f>
        <v>100000</v>
      </c>
      <c r="J23" s="13">
        <f>IF(C23&lt;=Assumptions!$B$5,Pricing_Model!J22,0)</f>
        <v>500</v>
      </c>
      <c r="K23" s="5">
        <f t="shared" si="10"/>
        <v>0.06</v>
      </c>
      <c r="L23" s="2">
        <f t="shared" si="2"/>
        <v>0.94339622641509424</v>
      </c>
      <c r="M23" s="13">
        <f t="shared" si="3"/>
        <v>138.23344849681206</v>
      </c>
      <c r="R23">
        <f t="shared" si="4"/>
        <v>15</v>
      </c>
      <c r="S23">
        <f t="shared" si="5"/>
        <v>49</v>
      </c>
      <c r="T23" s="13">
        <f>IF(R23&lt;=Assumptions!$B$5,Pricing_Model!T22,0)</f>
        <v>1000</v>
      </c>
      <c r="U23" s="13">
        <f>IF(R23&lt;=Assumptions!$B$5,Pricing_Model!U22,0)</f>
        <v>25.46215870875514</v>
      </c>
      <c r="V23" s="2">
        <f t="shared" si="0"/>
        <v>0.96994344175760483</v>
      </c>
      <c r="W23" s="13">
        <f>IF(R23&lt;=Assumptions!$B$5,Pricing_Model!W22,0)</f>
        <v>1273.1079354377571</v>
      </c>
      <c r="X23" s="13">
        <f t="shared" si="6"/>
        <v>430.46490431403902</v>
      </c>
      <c r="Y23" s="13">
        <f t="shared" si="11"/>
        <v>537.0677198974646</v>
      </c>
    </row>
    <row r="24" spans="3:25" x14ac:dyDescent="0.3">
      <c r="C24">
        <f t="shared" si="7"/>
        <v>16</v>
      </c>
      <c r="D24">
        <f t="shared" si="7"/>
        <v>50</v>
      </c>
      <c r="E24" s="2">
        <f>VLOOKUP(D24,Mortality_Table!B22:D122,2,0)</f>
        <v>3.7109999999999999E-3</v>
      </c>
      <c r="F24" s="2">
        <f t="shared" si="1"/>
        <v>0.99628899999999998</v>
      </c>
      <c r="G24" s="2">
        <f t="shared" si="8"/>
        <v>0.96634398164524238</v>
      </c>
      <c r="H24" s="2">
        <f t="shared" si="9"/>
        <v>3.5994601123624714E-3</v>
      </c>
      <c r="I24" s="13">
        <f>IF(C24&lt;=Assumptions!$B$5,Pricing_Model!I23,0)</f>
        <v>100000</v>
      </c>
      <c r="J24" s="13">
        <f>IF(C24&lt;=Assumptions!$B$5,Pricing_Model!J23,0)</f>
        <v>500</v>
      </c>
      <c r="K24" s="5">
        <f t="shared" si="10"/>
        <v>0.06</v>
      </c>
      <c r="L24" s="2">
        <f t="shared" si="2"/>
        <v>0.94339622641509424</v>
      </c>
      <c r="M24" s="13">
        <f t="shared" si="3"/>
        <v>142.39986670868683</v>
      </c>
      <c r="R24">
        <f t="shared" si="4"/>
        <v>16</v>
      </c>
      <c r="S24">
        <f t="shared" si="5"/>
        <v>50</v>
      </c>
      <c r="T24" s="13">
        <f>IF(R24&lt;=Assumptions!$B$5,Pricing_Model!T23,0)</f>
        <v>1000</v>
      </c>
      <c r="U24" s="13">
        <f>IF(R24&lt;=Assumptions!$B$5,Pricing_Model!U23,0)</f>
        <v>25.46215870875514</v>
      </c>
      <c r="V24" s="2">
        <f t="shared" si="0"/>
        <v>0.96634398164524238</v>
      </c>
      <c r="W24" s="13">
        <f>IF(R24&lt;=Assumptions!$B$5,Pricing_Model!W23,0)</f>
        <v>1273.1079354377571</v>
      </c>
      <c r="X24" s="13">
        <f t="shared" si="6"/>
        <v>404.72350913502567</v>
      </c>
      <c r="Y24" s="13">
        <f t="shared" si="11"/>
        <v>504.9515769152564</v>
      </c>
    </row>
    <row r="25" spans="3:25" x14ac:dyDescent="0.3">
      <c r="C25">
        <f t="shared" si="7"/>
        <v>17</v>
      </c>
      <c r="D25">
        <f t="shared" si="7"/>
        <v>51</v>
      </c>
      <c r="E25" s="2">
        <f>VLOOKUP(D25,Mortality_Table!B23:D123,2,0)</f>
        <v>4.0109999999999998E-3</v>
      </c>
      <c r="F25" s="2">
        <f t="shared" si="1"/>
        <v>0.99598900000000001</v>
      </c>
      <c r="G25" s="2">
        <f t="shared" si="8"/>
        <v>0.96246797593486333</v>
      </c>
      <c r="H25" s="2">
        <f t="shared" si="9"/>
        <v>3.8760057103790668E-3</v>
      </c>
      <c r="I25" s="13">
        <f>IF(C25&lt;=Assumptions!$B$5,Pricing_Model!I24,0)</f>
        <v>100000</v>
      </c>
      <c r="J25" s="13">
        <f>IF(C25&lt;=Assumptions!$B$5,Pricing_Model!J24,0)</f>
        <v>500</v>
      </c>
      <c r="K25" s="5">
        <f t="shared" si="10"/>
        <v>0.06</v>
      </c>
      <c r="L25" s="2">
        <f t="shared" si="2"/>
        <v>0.94339622641509424</v>
      </c>
      <c r="M25" s="13">
        <f t="shared" si="3"/>
        <v>144.66076601489712</v>
      </c>
      <c r="R25">
        <f t="shared" si="4"/>
        <v>17</v>
      </c>
      <c r="S25">
        <f t="shared" si="5"/>
        <v>51</v>
      </c>
      <c r="T25" s="13">
        <f>IF(R25&lt;=Assumptions!$B$5,Pricing_Model!T24,0)</f>
        <v>1000</v>
      </c>
      <c r="U25" s="13">
        <f>IF(R25&lt;=Assumptions!$B$5,Pricing_Model!U24,0)</f>
        <v>25.46215870875514</v>
      </c>
      <c r="V25" s="2">
        <f t="shared" si="0"/>
        <v>0.96246797593486333</v>
      </c>
      <c r="W25" s="13">
        <f>IF(R25&lt;=Assumptions!$B$5,Pricing_Model!W24,0)</f>
        <v>1273.1079354377571</v>
      </c>
      <c r="X25" s="13">
        <f t="shared" si="6"/>
        <v>380.39771716285429</v>
      </c>
      <c r="Y25" s="13">
        <f t="shared" si="11"/>
        <v>474.60160529558857</v>
      </c>
    </row>
    <row r="26" spans="3:25" x14ac:dyDescent="0.3">
      <c r="C26">
        <f t="shared" si="7"/>
        <v>18</v>
      </c>
      <c r="D26">
        <f t="shared" si="7"/>
        <v>52</v>
      </c>
      <c r="E26" s="2">
        <f>VLOOKUP(D26,Mortality_Table!B24:D124,2,0)</f>
        <v>4.2779999999999997E-3</v>
      </c>
      <c r="F26" s="2">
        <f t="shared" si="1"/>
        <v>0.995722</v>
      </c>
      <c r="G26" s="2">
        <f t="shared" si="8"/>
        <v>0.95835053793381397</v>
      </c>
      <c r="H26" s="2">
        <f t="shared" si="9"/>
        <v>4.1174380010493448E-3</v>
      </c>
      <c r="I26" s="13">
        <f>IF(C26&lt;=Assumptions!$B$5,Pricing_Model!I25,0)</f>
        <v>100000</v>
      </c>
      <c r="J26" s="13">
        <f>IF(C26&lt;=Assumptions!$B$5,Pricing_Model!J25,0)</f>
        <v>500</v>
      </c>
      <c r="K26" s="5">
        <f t="shared" si="10"/>
        <v>0.06</v>
      </c>
      <c r="L26" s="2">
        <f t="shared" si="2"/>
        <v>0.94339622641509424</v>
      </c>
      <c r="M26" s="13">
        <f t="shared" si="3"/>
        <v>144.97314332222138</v>
      </c>
      <c r="R26">
        <f t="shared" si="4"/>
        <v>18</v>
      </c>
      <c r="S26">
        <f t="shared" si="5"/>
        <v>52</v>
      </c>
      <c r="T26" s="13">
        <f>IF(R26&lt;=Assumptions!$B$5,Pricing_Model!T25,0)</f>
        <v>1000</v>
      </c>
      <c r="U26" s="13">
        <f>IF(R26&lt;=Assumptions!$B$5,Pricing_Model!U25,0)</f>
        <v>25.46215870875514</v>
      </c>
      <c r="V26" s="2">
        <f t="shared" si="0"/>
        <v>0.95835053793381397</v>
      </c>
      <c r="W26" s="13">
        <f>IF(R26&lt;=Assumptions!$B$5,Pricing_Model!W25,0)</f>
        <v>1273.1079354377571</v>
      </c>
      <c r="X26" s="13">
        <f t="shared" si="6"/>
        <v>357.4263603012397</v>
      </c>
      <c r="Y26" s="13">
        <f t="shared" si="11"/>
        <v>445.94148892146029</v>
      </c>
    </row>
    <row r="27" spans="3:25" x14ac:dyDescent="0.3">
      <c r="C27">
        <f t="shared" si="7"/>
        <v>19</v>
      </c>
      <c r="D27">
        <f t="shared" si="7"/>
        <v>53</v>
      </c>
      <c r="E27" s="2">
        <f>VLOOKUP(D27,Mortality_Table!B25:D125,2,0)</f>
        <v>4.5519999999999996E-3</v>
      </c>
      <c r="F27" s="2">
        <f t="shared" si="1"/>
        <v>0.995448</v>
      </c>
      <c r="G27" s="2">
        <f t="shared" si="8"/>
        <v>0.95398812628513929</v>
      </c>
      <c r="H27" s="2">
        <f t="shared" si="9"/>
        <v>4.3624116486747208E-3</v>
      </c>
      <c r="I27" s="13">
        <f>IF(C27&lt;=Assumptions!$B$5,Pricing_Model!I26,0)</f>
        <v>100000</v>
      </c>
      <c r="J27" s="13">
        <f>IF(C27&lt;=Assumptions!$B$5,Pricing_Model!J26,0)</f>
        <v>500</v>
      </c>
      <c r="K27" s="5">
        <f t="shared" si="10"/>
        <v>0.06</v>
      </c>
      <c r="L27" s="2">
        <f t="shared" si="2"/>
        <v>0.94339622641509424</v>
      </c>
      <c r="M27" s="13">
        <f t="shared" si="3"/>
        <v>144.90429760756757</v>
      </c>
      <c r="R27">
        <f t="shared" si="4"/>
        <v>19</v>
      </c>
      <c r="S27">
        <f t="shared" si="5"/>
        <v>53</v>
      </c>
      <c r="T27" s="13">
        <f>IF(R27&lt;=Assumptions!$B$5,Pricing_Model!T26,0)</f>
        <v>1000</v>
      </c>
      <c r="U27" s="13">
        <f>IF(R27&lt;=Assumptions!$B$5,Pricing_Model!U26,0)</f>
        <v>25.46215870875514</v>
      </c>
      <c r="V27" s="2">
        <f t="shared" si="0"/>
        <v>0.95398812628513929</v>
      </c>
      <c r="W27" s="13">
        <f>IF(R27&lt;=Assumptions!$B$5,Pricing_Model!W26,0)</f>
        <v>1273.1079354377571</v>
      </c>
      <c r="X27" s="13">
        <f t="shared" si="6"/>
        <v>335.75216069044427</v>
      </c>
      <c r="Y27" s="13">
        <f t="shared" si="11"/>
        <v>418.89976531307002</v>
      </c>
    </row>
    <row r="28" spans="3:25" x14ac:dyDescent="0.3">
      <c r="C28">
        <f t="shared" si="7"/>
        <v>20</v>
      </c>
      <c r="D28">
        <f t="shared" si="7"/>
        <v>54</v>
      </c>
      <c r="E28" s="2">
        <f>VLOOKUP(D28,Mortality_Table!B26:D126,2,0)</f>
        <v>4.9280000000000001E-3</v>
      </c>
      <c r="F28" s="2">
        <f t="shared" si="1"/>
        <v>0.99507199999999996</v>
      </c>
      <c r="G28" s="2">
        <f t="shared" si="8"/>
        <v>0.94928687279880608</v>
      </c>
      <c r="H28" s="2">
        <f t="shared" si="9"/>
        <v>4.7012534863331663E-3</v>
      </c>
      <c r="I28" s="13">
        <f>IF(C28&lt;=Assumptions!$B$5,Pricing_Model!I27,0)</f>
        <v>100000</v>
      </c>
      <c r="J28" s="13">
        <f>IF(C28&lt;=Assumptions!$B$5,Pricing_Model!J27,0)</f>
        <v>500</v>
      </c>
      <c r="K28" s="5">
        <f t="shared" si="10"/>
        <v>0.06</v>
      </c>
      <c r="L28" s="2">
        <f t="shared" si="2"/>
        <v>0.94339622641509424</v>
      </c>
      <c r="M28" s="13">
        <f t="shared" si="3"/>
        <v>147.3202424625004</v>
      </c>
      <c r="R28">
        <f t="shared" si="4"/>
        <v>20</v>
      </c>
      <c r="S28">
        <f t="shared" si="5"/>
        <v>54</v>
      </c>
      <c r="T28" s="13">
        <f>IF(R28&lt;=Assumptions!$B$5,Pricing_Model!T27,0)</f>
        <v>1000</v>
      </c>
      <c r="U28" s="13">
        <f>IF(R28&lt;=Assumptions!$B$5,Pricing_Model!U27,0)</f>
        <v>25.46215870875514</v>
      </c>
      <c r="V28" s="2">
        <f t="shared" si="0"/>
        <v>0.94928687279880608</v>
      </c>
      <c r="W28" s="13">
        <f>IF(R28&lt;=Assumptions!$B$5,Pricing_Model!W27,0)</f>
        <v>1273.1079354377571</v>
      </c>
      <c r="X28" s="13">
        <f t="shared" si="6"/>
        <v>315.305487599039</v>
      </c>
      <c r="Y28" s="13">
        <f t="shared" si="11"/>
        <v>393.38955998241966</v>
      </c>
    </row>
    <row r="29" spans="3:25" x14ac:dyDescent="0.3">
      <c r="C29">
        <f t="shared" si="7"/>
        <v>21</v>
      </c>
      <c r="D29">
        <f t="shared" si="7"/>
        <v>55</v>
      </c>
      <c r="E29" s="2">
        <f>VLOOKUP(D29,Mortality_Table!B27:D127,2,0)</f>
        <v>5.3200000000000001E-3</v>
      </c>
      <c r="F29" s="2">
        <f t="shared" si="1"/>
        <v>0.99468000000000001</v>
      </c>
      <c r="G29" s="2">
        <f t="shared" si="8"/>
        <v>0.94423666663551642</v>
      </c>
      <c r="H29" s="2">
        <f t="shared" si="9"/>
        <v>5.0502061632896481E-3</v>
      </c>
      <c r="I29" s="13">
        <f>IF(C29&lt;=Assumptions!$B$5,Pricing_Model!I28,0)</f>
        <v>100000</v>
      </c>
      <c r="J29" s="13">
        <f>IF(C29&lt;=Assumptions!$B$5,Pricing_Model!J28,0)</f>
        <v>500</v>
      </c>
      <c r="K29" s="5">
        <f t="shared" si="10"/>
        <v>0.06</v>
      </c>
      <c r="L29" s="2">
        <f t="shared" si="2"/>
        <v>0.94339622641509424</v>
      </c>
      <c r="M29" s="13">
        <f t="shared" si="3"/>
        <v>149.29731549342083</v>
      </c>
      <c r="R29">
        <f t="shared" si="4"/>
        <v>21</v>
      </c>
      <c r="S29">
        <f t="shared" si="5"/>
        <v>55</v>
      </c>
      <c r="T29" s="13">
        <f>IF(R29&lt;=Assumptions!$B$5,Pricing_Model!T28,0)</f>
        <v>1000</v>
      </c>
      <c r="U29" s="13">
        <f>IF(R29&lt;=Assumptions!$B$5,Pricing_Model!U28,0)</f>
        <v>25.46215870875514</v>
      </c>
      <c r="V29" s="2">
        <f t="shared" si="0"/>
        <v>0.94423666663551642</v>
      </c>
      <c r="W29" s="13">
        <f>IF(R29&lt;=Assumptions!$B$5,Pricing_Model!W28,0)</f>
        <v>1273.1079354377571</v>
      </c>
      <c r="X29" s="13">
        <f t="shared" si="6"/>
        <v>295.99213410957628</v>
      </c>
      <c r="Y29" s="13">
        <f t="shared" si="11"/>
        <v>369.29333606681718</v>
      </c>
    </row>
    <row r="30" spans="3:25" x14ac:dyDescent="0.3">
      <c r="C30">
        <f t="shared" si="7"/>
        <v>22</v>
      </c>
      <c r="D30">
        <f t="shared" si="7"/>
        <v>56</v>
      </c>
      <c r="E30" s="2">
        <f>VLOOKUP(D30,Mortality_Table!B28:D128,2,0)</f>
        <v>5.7400000000000003E-3</v>
      </c>
      <c r="F30" s="2">
        <f t="shared" si="1"/>
        <v>0.99426000000000003</v>
      </c>
      <c r="G30" s="2">
        <f t="shared" si="8"/>
        <v>0.9388167481690286</v>
      </c>
      <c r="H30" s="2">
        <f t="shared" si="9"/>
        <v>5.419918466487865E-3</v>
      </c>
      <c r="I30" s="13">
        <f>IF(C30&lt;=Assumptions!$B$5,Pricing_Model!I29,0)</f>
        <v>100000</v>
      </c>
      <c r="J30" s="13">
        <f>IF(C30&lt;=Assumptions!$B$5,Pricing_Model!J29,0)</f>
        <v>500</v>
      </c>
      <c r="K30" s="5">
        <f t="shared" si="10"/>
        <v>0.06</v>
      </c>
      <c r="L30" s="2">
        <f t="shared" si="2"/>
        <v>0.94339622641509424</v>
      </c>
      <c r="M30" s="13">
        <f t="shared" si="3"/>
        <v>151.15752742737902</v>
      </c>
      <c r="R30">
        <f t="shared" si="4"/>
        <v>22</v>
      </c>
      <c r="S30">
        <f t="shared" si="5"/>
        <v>56</v>
      </c>
      <c r="T30" s="13">
        <f>IF(R30&lt;=Assumptions!$B$5,Pricing_Model!T29,0)</f>
        <v>1000</v>
      </c>
      <c r="U30" s="13">
        <f>IF(R30&lt;=Assumptions!$B$5,Pricing_Model!U29,0)</f>
        <v>25.46215870875514</v>
      </c>
      <c r="V30" s="2">
        <f t="shared" si="0"/>
        <v>0.9388167481690286</v>
      </c>
      <c r="W30" s="13">
        <f>IF(R30&lt;=Assumptions!$B$5,Pricing_Model!W29,0)</f>
        <v>1273.1079354377571</v>
      </c>
      <c r="X30" s="13">
        <f t="shared" si="6"/>
        <v>277.75231693972955</v>
      </c>
      <c r="Y30" s="13">
        <f t="shared" si="11"/>
        <v>346.53650520654884</v>
      </c>
    </row>
    <row r="31" spans="3:25" x14ac:dyDescent="0.3">
      <c r="C31">
        <f t="shared" si="7"/>
        <v>23</v>
      </c>
      <c r="D31">
        <f t="shared" si="7"/>
        <v>57</v>
      </c>
      <c r="E31" s="2">
        <f>VLOOKUP(D31,Mortality_Table!B29:D129,2,0)</f>
        <v>6.2529999999999999E-3</v>
      </c>
      <c r="F31" s="2">
        <f t="shared" si="1"/>
        <v>0.99374700000000005</v>
      </c>
      <c r="G31" s="2">
        <f t="shared" si="8"/>
        <v>0.93294632704272773</v>
      </c>
      <c r="H31" s="2">
        <f t="shared" si="9"/>
        <v>5.8704211263009357E-3</v>
      </c>
      <c r="I31" s="13">
        <f>IF(C31&lt;=Assumptions!$B$5,Pricing_Model!I30,0)</f>
        <v>100000</v>
      </c>
      <c r="J31" s="13">
        <f>IF(C31&lt;=Assumptions!$B$5,Pricing_Model!J30,0)</f>
        <v>500</v>
      </c>
      <c r="K31" s="5">
        <f t="shared" si="10"/>
        <v>0.06</v>
      </c>
      <c r="L31" s="2">
        <f t="shared" si="2"/>
        <v>0.94339622641509424</v>
      </c>
      <c r="M31" s="13">
        <f t="shared" si="3"/>
        <v>154.45444740226174</v>
      </c>
      <c r="R31">
        <f t="shared" si="4"/>
        <v>23</v>
      </c>
      <c r="S31">
        <f t="shared" si="5"/>
        <v>57</v>
      </c>
      <c r="T31" s="13">
        <f>IF(R31&lt;=Assumptions!$B$5,Pricing_Model!T30,0)</f>
        <v>1000</v>
      </c>
      <c r="U31" s="13">
        <f>IF(R31&lt;=Assumptions!$B$5,Pricing_Model!U30,0)</f>
        <v>25.46215870875514</v>
      </c>
      <c r="V31" s="2">
        <f t="shared" si="0"/>
        <v>0.93294632704272773</v>
      </c>
      <c r="W31" s="13">
        <f>IF(R31&lt;=Assumptions!$B$5,Pricing_Model!W30,0)</f>
        <v>1273.1079354377571</v>
      </c>
      <c r="X31" s="13">
        <f t="shared" si="6"/>
        <v>260.52643267971274</v>
      </c>
      <c r="Y31" s="13">
        <f t="shared" si="11"/>
        <v>325.04470345911619</v>
      </c>
    </row>
    <row r="32" spans="3:25" x14ac:dyDescent="0.3">
      <c r="C32">
        <f t="shared" si="7"/>
        <v>24</v>
      </c>
      <c r="D32">
        <f t="shared" si="7"/>
        <v>58</v>
      </c>
      <c r="E32" s="2">
        <f>VLOOKUP(D32,Mortality_Table!B30:D130,2,0)</f>
        <v>6.7279999999999996E-3</v>
      </c>
      <c r="F32" s="2">
        <f t="shared" si="1"/>
        <v>0.99327200000000004</v>
      </c>
      <c r="G32" s="2">
        <f t="shared" si="8"/>
        <v>0.92666946415438434</v>
      </c>
      <c r="H32" s="2">
        <f t="shared" si="9"/>
        <v>6.2768628883434719E-3</v>
      </c>
      <c r="I32" s="13">
        <f>IF(C32&lt;=Assumptions!$B$5,Pricing_Model!I31,0)</f>
        <v>100000</v>
      </c>
      <c r="J32" s="13">
        <f>IF(C32&lt;=Assumptions!$B$5,Pricing_Model!J31,0)</f>
        <v>500</v>
      </c>
      <c r="K32" s="5">
        <f t="shared" si="10"/>
        <v>0.06</v>
      </c>
      <c r="L32" s="2">
        <f t="shared" si="2"/>
        <v>0.94339622641509424</v>
      </c>
      <c r="M32" s="13">
        <f t="shared" si="3"/>
        <v>155.80017366767129</v>
      </c>
      <c r="R32">
        <f t="shared" si="4"/>
        <v>24</v>
      </c>
      <c r="S32">
        <f t="shared" si="5"/>
        <v>58</v>
      </c>
      <c r="T32" s="13">
        <f>IF(R32&lt;=Assumptions!$B$5,Pricing_Model!T31,0)</f>
        <v>1000</v>
      </c>
      <c r="U32" s="13">
        <f>IF(R32&lt;=Assumptions!$B$5,Pricing_Model!U31,0)</f>
        <v>25.46215870875514</v>
      </c>
      <c r="V32" s="2">
        <f t="shared" si="0"/>
        <v>0.92666946415438434</v>
      </c>
      <c r="W32" s="13">
        <f>IF(R32&lt;=Assumptions!$B$5,Pricing_Model!W31,0)</f>
        <v>1273.1079354377571</v>
      </c>
      <c r="X32" s="13">
        <f t="shared" si="6"/>
        <v>244.24279329827021</v>
      </c>
      <c r="Y32" s="13">
        <f t="shared" si="11"/>
        <v>304.72848955508141</v>
      </c>
    </row>
    <row r="33" spans="3:25" x14ac:dyDescent="0.3">
      <c r="C33">
        <f t="shared" si="7"/>
        <v>25</v>
      </c>
      <c r="D33">
        <f t="shared" si="7"/>
        <v>59</v>
      </c>
      <c r="E33" s="2">
        <f>VLOOKUP(D33,Mortality_Table!B31:D131,2,0)</f>
        <v>7.2360000000000002E-3</v>
      </c>
      <c r="F33" s="2">
        <f t="shared" si="1"/>
        <v>0.99276399999999998</v>
      </c>
      <c r="G33" s="2">
        <f t="shared" si="8"/>
        <v>0.91996408391176321</v>
      </c>
      <c r="H33" s="2">
        <f t="shared" si="9"/>
        <v>6.7053802426211249E-3</v>
      </c>
      <c r="I33" s="13">
        <f>IF(C33&lt;=Assumptions!$B$5,Pricing_Model!I32,0)</f>
        <v>100000</v>
      </c>
      <c r="J33" s="13">
        <f>IF(C33&lt;=Assumptions!$B$5,Pricing_Model!J32,0)</f>
        <v>500</v>
      </c>
      <c r="K33" s="5">
        <f t="shared" si="10"/>
        <v>0.06</v>
      </c>
      <c r="L33" s="2">
        <f t="shared" si="2"/>
        <v>0.94339622641509424</v>
      </c>
      <c r="M33" s="13">
        <f t="shared" si="3"/>
        <v>157.01561356062891</v>
      </c>
      <c r="R33">
        <f t="shared" si="4"/>
        <v>25</v>
      </c>
      <c r="S33">
        <f t="shared" si="5"/>
        <v>59</v>
      </c>
      <c r="T33" s="13">
        <f>IF(R33&lt;=Assumptions!$B$5,Pricing_Model!T32,0)</f>
        <v>1000</v>
      </c>
      <c r="U33" s="13">
        <f>IF(R33&lt;=Assumptions!$B$5,Pricing_Model!U32,0)</f>
        <v>25.46215870875514</v>
      </c>
      <c r="V33" s="2">
        <f t="shared" si="0"/>
        <v>0.91996408391176321</v>
      </c>
      <c r="W33" s="13">
        <f>IF(R33&lt;=Assumptions!$B$5,Pricing_Model!W32,0)</f>
        <v>1273.1079354377571</v>
      </c>
      <c r="X33" s="13">
        <f t="shared" si="6"/>
        <v>228.86747904241457</v>
      </c>
      <c r="Y33" s="13">
        <f t="shared" si="11"/>
        <v>285.54554365788192</v>
      </c>
    </row>
    <row r="34" spans="3:25" x14ac:dyDescent="0.3">
      <c r="C34">
        <f t="shared" si="7"/>
        <v>26</v>
      </c>
      <c r="D34">
        <f t="shared" si="7"/>
        <v>60</v>
      </c>
      <c r="E34" s="2">
        <f>VLOOKUP(D34,Mortality_Table!B32:D132,2,0)</f>
        <v>7.7609999999999997E-3</v>
      </c>
      <c r="F34" s="2">
        <f t="shared" si="1"/>
        <v>0.99223899999999998</v>
      </c>
      <c r="G34" s="2">
        <f t="shared" si="8"/>
        <v>0.91282424265652395</v>
      </c>
      <c r="H34" s="2">
        <f t="shared" si="9"/>
        <v>7.1398412552391936E-3</v>
      </c>
      <c r="I34" s="13">
        <f>IF(C34&lt;=Assumptions!$B$5,Pricing_Model!I33,0)</f>
        <v>0</v>
      </c>
      <c r="J34" s="13">
        <f>IF(C34&lt;=Assumptions!$B$5,Pricing_Model!J33,0)</f>
        <v>0</v>
      </c>
      <c r="K34" s="5">
        <f t="shared" si="10"/>
        <v>0.06</v>
      </c>
      <c r="L34" s="2">
        <f t="shared" si="2"/>
        <v>0.94339622641509424</v>
      </c>
      <c r="M34" s="13">
        <f t="shared" si="3"/>
        <v>0</v>
      </c>
      <c r="R34">
        <f t="shared" si="4"/>
        <v>26</v>
      </c>
      <c r="S34">
        <f t="shared" si="5"/>
        <v>60</v>
      </c>
      <c r="T34" s="13">
        <f>IF(R34&lt;=Assumptions!$B$5,Pricing_Model!T33,0)</f>
        <v>0</v>
      </c>
      <c r="U34" s="13">
        <f>IF(R34&lt;=Assumptions!$B$5,Pricing_Model!U33,0)</f>
        <v>0</v>
      </c>
      <c r="V34" s="2">
        <f t="shared" si="0"/>
        <v>0.91282424265652395</v>
      </c>
      <c r="W34" s="13">
        <f>IF(R34&lt;=Assumptions!$B$5,Pricing_Model!W33,0)</f>
        <v>0</v>
      </c>
      <c r="X34" s="13">
        <f t="shared" si="6"/>
        <v>0</v>
      </c>
      <c r="Y34" s="13">
        <f t="shared" si="11"/>
        <v>0</v>
      </c>
    </row>
    <row r="35" spans="3:25" x14ac:dyDescent="0.3">
      <c r="C35">
        <f t="shared" si="7"/>
        <v>27</v>
      </c>
      <c r="D35">
        <f t="shared" si="7"/>
        <v>61</v>
      </c>
      <c r="E35" s="2">
        <f>VLOOKUP(D35,Mortality_Table!B33:D133,2,0)</f>
        <v>8.5559999999999994E-3</v>
      </c>
      <c r="F35" s="2">
        <f t="shared" si="1"/>
        <v>0.99144399999999999</v>
      </c>
      <c r="G35" s="2">
        <f t="shared" si="8"/>
        <v>0.90501411843635471</v>
      </c>
      <c r="H35" s="2">
        <f t="shared" si="9"/>
        <v>7.8101242201692187E-3</v>
      </c>
      <c r="I35" s="13">
        <f>IF(C35&lt;=Assumptions!$B$5,Pricing_Model!I34,0)</f>
        <v>0</v>
      </c>
      <c r="J35" s="13">
        <f>IF(C35&lt;=Assumptions!$B$5,Pricing_Model!J34,0)</f>
        <v>0</v>
      </c>
      <c r="K35" s="5">
        <f t="shared" si="10"/>
        <v>0.06</v>
      </c>
      <c r="L35" s="2">
        <f t="shared" si="2"/>
        <v>0.94339622641509424</v>
      </c>
      <c r="M35" s="13">
        <f t="shared" si="3"/>
        <v>0</v>
      </c>
      <c r="R35">
        <f t="shared" si="4"/>
        <v>27</v>
      </c>
      <c r="S35">
        <f t="shared" si="5"/>
        <v>61</v>
      </c>
      <c r="T35" s="13">
        <f>IF(R35&lt;=Assumptions!$B$5,Pricing_Model!T34,0)</f>
        <v>0</v>
      </c>
      <c r="U35" s="13">
        <f>IF(R35&lt;=Assumptions!$B$5,Pricing_Model!U34,0)</f>
        <v>0</v>
      </c>
      <c r="V35" s="2">
        <f t="shared" si="0"/>
        <v>0.90501411843635471</v>
      </c>
      <c r="W35" s="13">
        <f>IF(R35&lt;=Assumptions!$B$5,Pricing_Model!W34,0)</f>
        <v>0</v>
      </c>
      <c r="X35" s="13">
        <f t="shared" si="6"/>
        <v>0</v>
      </c>
      <c r="Y35" s="13">
        <f t="shared" si="11"/>
        <v>0</v>
      </c>
    </row>
    <row r="36" spans="3:25" x14ac:dyDescent="0.3">
      <c r="C36">
        <f t="shared" si="7"/>
        <v>28</v>
      </c>
      <c r="D36">
        <f t="shared" si="7"/>
        <v>62</v>
      </c>
      <c r="E36" s="2">
        <f>VLOOKUP(D36,Mortality_Table!B34:D134,2,0)</f>
        <v>9.2919999999999999E-3</v>
      </c>
      <c r="F36" s="2">
        <f t="shared" si="1"/>
        <v>0.99070800000000003</v>
      </c>
      <c r="G36" s="2">
        <f t="shared" si="8"/>
        <v>0.89660472724784412</v>
      </c>
      <c r="H36" s="2">
        <f t="shared" si="9"/>
        <v>8.4093911885106086E-3</v>
      </c>
      <c r="I36" s="13">
        <f>IF(C36&lt;=Assumptions!$B$5,Pricing_Model!I35,0)</f>
        <v>0</v>
      </c>
      <c r="J36" s="13">
        <f>IF(C36&lt;=Assumptions!$B$5,Pricing_Model!J35,0)</f>
        <v>0</v>
      </c>
      <c r="K36" s="5">
        <f t="shared" si="10"/>
        <v>0.06</v>
      </c>
      <c r="L36" s="2">
        <f t="shared" si="2"/>
        <v>0.94339622641509424</v>
      </c>
      <c r="M36" s="13">
        <f t="shared" si="3"/>
        <v>0</v>
      </c>
      <c r="R36">
        <f t="shared" si="4"/>
        <v>28</v>
      </c>
      <c r="S36">
        <f t="shared" si="5"/>
        <v>62</v>
      </c>
      <c r="T36" s="13">
        <f>IF(R36&lt;=Assumptions!$B$5,Pricing_Model!T35,0)</f>
        <v>0</v>
      </c>
      <c r="U36" s="13">
        <f>IF(R36&lt;=Assumptions!$B$5,Pricing_Model!U35,0)</f>
        <v>0</v>
      </c>
      <c r="V36" s="2">
        <f t="shared" si="0"/>
        <v>0.89660472724784412</v>
      </c>
      <c r="W36" s="13">
        <f>IF(R36&lt;=Assumptions!$B$5,Pricing_Model!W35,0)</f>
        <v>0</v>
      </c>
      <c r="X36" s="13">
        <f t="shared" si="6"/>
        <v>0</v>
      </c>
      <c r="Y36" s="13">
        <f t="shared" si="11"/>
        <v>0</v>
      </c>
    </row>
    <row r="37" spans="3:25" x14ac:dyDescent="0.3">
      <c r="C37">
        <f t="shared" si="7"/>
        <v>29</v>
      </c>
      <c r="D37">
        <f t="shared" si="7"/>
        <v>63</v>
      </c>
      <c r="E37" s="2">
        <f>VLOOKUP(D37,Mortality_Table!B35:D135,2,0)</f>
        <v>1.0033E-2</v>
      </c>
      <c r="F37" s="2">
        <f t="shared" si="1"/>
        <v>0.98996700000000004</v>
      </c>
      <c r="G37" s="2">
        <f t="shared" si="8"/>
        <v>0.88760909201936655</v>
      </c>
      <c r="H37" s="2">
        <f t="shared" si="9"/>
        <v>8.9956352284776206E-3</v>
      </c>
      <c r="I37" s="13">
        <f>IF(C37&lt;=Assumptions!$B$5,Pricing_Model!I36,0)</f>
        <v>0</v>
      </c>
      <c r="J37" s="13">
        <f>IF(C37&lt;=Assumptions!$B$5,Pricing_Model!J36,0)</f>
        <v>0</v>
      </c>
      <c r="K37" s="5">
        <f t="shared" si="10"/>
        <v>0.06</v>
      </c>
      <c r="L37" s="2">
        <f t="shared" si="2"/>
        <v>0.94339622641509424</v>
      </c>
      <c r="M37" s="13">
        <f t="shared" si="3"/>
        <v>0</v>
      </c>
      <c r="R37">
        <f t="shared" si="4"/>
        <v>29</v>
      </c>
      <c r="S37">
        <f t="shared" si="5"/>
        <v>63</v>
      </c>
      <c r="T37" s="13">
        <f>IF(R37&lt;=Assumptions!$B$5,Pricing_Model!T36,0)</f>
        <v>0</v>
      </c>
      <c r="U37" s="13">
        <f>IF(R37&lt;=Assumptions!$B$5,Pricing_Model!U36,0)</f>
        <v>0</v>
      </c>
      <c r="V37" s="2">
        <f t="shared" si="0"/>
        <v>0.88760909201936655</v>
      </c>
      <c r="W37" s="13">
        <f>IF(R37&lt;=Assumptions!$B$5,Pricing_Model!W36,0)</f>
        <v>0</v>
      </c>
      <c r="X37" s="13">
        <f t="shared" si="6"/>
        <v>0</v>
      </c>
      <c r="Y37" s="13">
        <f t="shared" si="11"/>
        <v>0</v>
      </c>
    </row>
    <row r="38" spans="3:25" x14ac:dyDescent="0.3">
      <c r="C38">
        <f t="shared" si="7"/>
        <v>30</v>
      </c>
      <c r="D38">
        <f t="shared" si="7"/>
        <v>64</v>
      </c>
      <c r="E38" s="2">
        <f>VLOOKUP(D38,Mortality_Table!B36:D136,2,0)</f>
        <v>1.1172E-2</v>
      </c>
      <c r="F38" s="2">
        <f t="shared" si="1"/>
        <v>0.98882800000000004</v>
      </c>
      <c r="G38" s="2">
        <f t="shared" si="8"/>
        <v>0.87769272324332626</v>
      </c>
      <c r="H38" s="2">
        <f t="shared" si="9"/>
        <v>9.9163687760403622E-3</v>
      </c>
      <c r="I38" s="13">
        <f>IF(C38&lt;=Assumptions!$B$5,Pricing_Model!I37,0)</f>
        <v>0</v>
      </c>
      <c r="J38" s="13">
        <f>IF(C38&lt;=Assumptions!$B$5,Pricing_Model!J37,0)</f>
        <v>0</v>
      </c>
      <c r="K38" s="5">
        <f t="shared" si="10"/>
        <v>0.06</v>
      </c>
      <c r="L38" s="2">
        <f t="shared" si="2"/>
        <v>0.94339622641509424</v>
      </c>
      <c r="M38" s="13">
        <f t="shared" si="3"/>
        <v>0</v>
      </c>
      <c r="R38">
        <f t="shared" si="4"/>
        <v>30</v>
      </c>
      <c r="S38">
        <f t="shared" si="5"/>
        <v>64</v>
      </c>
      <c r="T38" s="13">
        <f>IF(R38&lt;=Assumptions!$B$5,Pricing_Model!T37,0)</f>
        <v>0</v>
      </c>
      <c r="U38" s="13">
        <f>IF(R38&lt;=Assumptions!$B$5,Pricing_Model!U37,0)</f>
        <v>0</v>
      </c>
      <c r="V38" s="2">
        <f t="shared" si="0"/>
        <v>0.87769272324332626</v>
      </c>
      <c r="W38" s="13">
        <f>IF(R38&lt;=Assumptions!$B$5,Pricing_Model!W37,0)</f>
        <v>0</v>
      </c>
      <c r="X38" s="13">
        <f t="shared" si="6"/>
        <v>0</v>
      </c>
      <c r="Y38" s="13">
        <f t="shared" si="11"/>
        <v>0</v>
      </c>
    </row>
    <row r="39" spans="3:25" x14ac:dyDescent="0.3">
      <c r="C39">
        <f t="shared" si="7"/>
        <v>31</v>
      </c>
      <c r="D39">
        <f t="shared" si="7"/>
        <v>65</v>
      </c>
      <c r="E39" s="2">
        <f>VLOOKUP(D39,Mortality_Table!B37:D137,2,0)</f>
        <v>1.1976000000000001E-2</v>
      </c>
      <c r="F39" s="2">
        <f t="shared" si="1"/>
        <v>0.98802400000000001</v>
      </c>
      <c r="G39" s="2">
        <f t="shared" si="8"/>
        <v>0.86718147518976418</v>
      </c>
      <c r="H39" s="2">
        <f t="shared" si="9"/>
        <v>1.0511248053562076E-2</v>
      </c>
      <c r="I39" s="13">
        <f>IF(C39&lt;=Assumptions!$B$5,Pricing_Model!I38,0)</f>
        <v>0</v>
      </c>
      <c r="J39" s="13">
        <f>IF(C39&lt;=Assumptions!$B$5,Pricing_Model!J38,0)</f>
        <v>0</v>
      </c>
      <c r="K39" s="5">
        <f t="shared" si="10"/>
        <v>0.06</v>
      </c>
      <c r="L39" s="2">
        <f t="shared" si="2"/>
        <v>0.94339622641509424</v>
      </c>
      <c r="M39" s="13">
        <f t="shared" si="3"/>
        <v>0</v>
      </c>
      <c r="R39">
        <f t="shared" si="4"/>
        <v>31</v>
      </c>
      <c r="S39">
        <f t="shared" si="5"/>
        <v>65</v>
      </c>
      <c r="T39" s="13">
        <f>IF(R39&lt;=Assumptions!$B$5,Pricing_Model!T38,0)</f>
        <v>0</v>
      </c>
      <c r="U39" s="13">
        <f>IF(R39&lt;=Assumptions!$B$5,Pricing_Model!U38,0)</f>
        <v>0</v>
      </c>
      <c r="V39" s="2">
        <f t="shared" si="0"/>
        <v>0.86718147518976418</v>
      </c>
      <c r="W39" s="13">
        <f>IF(R39&lt;=Assumptions!$B$5,Pricing_Model!W38,0)</f>
        <v>0</v>
      </c>
      <c r="X39" s="13">
        <f t="shared" si="6"/>
        <v>0</v>
      </c>
      <c r="Y39" s="13">
        <f t="shared" si="11"/>
        <v>0</v>
      </c>
    </row>
    <row r="40" spans="3:25" x14ac:dyDescent="0.3">
      <c r="C40">
        <f t="shared" si="7"/>
        <v>32</v>
      </c>
      <c r="D40">
        <f t="shared" si="7"/>
        <v>66</v>
      </c>
      <c r="E40" s="2">
        <f>VLOOKUP(D40,Mortality_Table!B38:D138,2,0)</f>
        <v>1.3403999999999999E-2</v>
      </c>
      <c r="F40" s="2">
        <f t="shared" si="1"/>
        <v>0.98659600000000003</v>
      </c>
      <c r="G40" s="2">
        <f t="shared" si="8"/>
        <v>0.85555777469632066</v>
      </c>
      <c r="H40" s="2">
        <f t="shared" si="9"/>
        <v>1.1623700493443599E-2</v>
      </c>
      <c r="I40" s="13">
        <f>IF(C40&lt;=Assumptions!$B$5,Pricing_Model!I39,0)</f>
        <v>0</v>
      </c>
      <c r="J40" s="13">
        <f>IF(C40&lt;=Assumptions!$B$5,Pricing_Model!J39,0)</f>
        <v>0</v>
      </c>
      <c r="K40" s="5">
        <f t="shared" si="10"/>
        <v>0.06</v>
      </c>
      <c r="L40" s="2">
        <f t="shared" si="2"/>
        <v>0.94339622641509424</v>
      </c>
      <c r="M40" s="13">
        <f t="shared" si="3"/>
        <v>0</v>
      </c>
      <c r="R40">
        <f t="shared" si="4"/>
        <v>32</v>
      </c>
      <c r="S40">
        <f t="shared" si="5"/>
        <v>66</v>
      </c>
      <c r="T40" s="13">
        <f>IF(R40&lt;=Assumptions!$B$5,Pricing_Model!T39,0)</f>
        <v>0</v>
      </c>
      <c r="U40" s="13">
        <f>IF(R40&lt;=Assumptions!$B$5,Pricing_Model!U39,0)</f>
        <v>0</v>
      </c>
      <c r="V40" s="2">
        <f t="shared" si="0"/>
        <v>0.85555777469632066</v>
      </c>
      <c r="W40" s="13">
        <f>IF(R40&lt;=Assumptions!$B$5,Pricing_Model!W39,0)</f>
        <v>0</v>
      </c>
      <c r="X40" s="13">
        <f t="shared" si="6"/>
        <v>0</v>
      </c>
      <c r="Y40" s="13">
        <f t="shared" si="11"/>
        <v>0</v>
      </c>
    </row>
    <row r="41" spans="3:25" x14ac:dyDescent="0.3">
      <c r="C41">
        <f t="shared" si="7"/>
        <v>33</v>
      </c>
      <c r="D41">
        <f t="shared" si="7"/>
        <v>67</v>
      </c>
      <c r="E41" s="2">
        <f>VLOOKUP(D41,Mortality_Table!B39:D139,2,0)</f>
        <v>1.4795000000000001E-2</v>
      </c>
      <c r="F41" s="2">
        <f t="shared" si="1"/>
        <v>0.985205</v>
      </c>
      <c r="G41" s="2">
        <f t="shared" si="8"/>
        <v>0.84289979741968857</v>
      </c>
      <c r="H41" s="2">
        <f t="shared" si="9"/>
        <v>1.2657977276632065E-2</v>
      </c>
      <c r="I41" s="13">
        <f>IF(C41&lt;=Assumptions!$B$5,Pricing_Model!I40,0)</f>
        <v>0</v>
      </c>
      <c r="J41" s="13">
        <f>IF(C41&lt;=Assumptions!$B$5,Pricing_Model!J40,0)</f>
        <v>0</v>
      </c>
      <c r="K41" s="5">
        <f t="shared" si="10"/>
        <v>0.06</v>
      </c>
      <c r="L41" s="2">
        <f t="shared" si="2"/>
        <v>0.94339622641509424</v>
      </c>
      <c r="M41" s="13">
        <f t="shared" si="3"/>
        <v>0</v>
      </c>
      <c r="R41">
        <f t="shared" si="4"/>
        <v>33</v>
      </c>
      <c r="S41">
        <f t="shared" si="5"/>
        <v>67</v>
      </c>
      <c r="T41" s="13">
        <f>IF(R41&lt;=Assumptions!$B$5,Pricing_Model!T40,0)</f>
        <v>0</v>
      </c>
      <c r="U41" s="13">
        <f>IF(R41&lt;=Assumptions!$B$5,Pricing_Model!U40,0)</f>
        <v>0</v>
      </c>
      <c r="V41" s="2">
        <f t="shared" si="0"/>
        <v>0.84289979741968857</v>
      </c>
      <c r="W41" s="13">
        <f>IF(R41&lt;=Assumptions!$B$5,Pricing_Model!W40,0)</f>
        <v>0</v>
      </c>
      <c r="X41" s="13">
        <f t="shared" si="6"/>
        <v>0</v>
      </c>
      <c r="Y41" s="13">
        <f t="shared" si="11"/>
        <v>0</v>
      </c>
    </row>
    <row r="42" spans="3:25" x14ac:dyDescent="0.3">
      <c r="C42">
        <f t="shared" si="7"/>
        <v>34</v>
      </c>
      <c r="D42">
        <f t="shared" si="7"/>
        <v>68</v>
      </c>
      <c r="E42" s="2">
        <f>VLOOKUP(D42,Mortality_Table!B40:D140,2,0)</f>
        <v>1.6279999999999999E-2</v>
      </c>
      <c r="F42" s="2">
        <f t="shared" si="1"/>
        <v>0.98372000000000004</v>
      </c>
      <c r="G42" s="2">
        <f t="shared" si="8"/>
        <v>0.82917738871769608</v>
      </c>
      <c r="H42" s="2">
        <f t="shared" si="9"/>
        <v>1.3722408701992529E-2</v>
      </c>
      <c r="I42" s="13">
        <f>IF(C42&lt;=Assumptions!$B$5,Pricing_Model!I41,0)</f>
        <v>0</v>
      </c>
      <c r="J42" s="13">
        <f>IF(C42&lt;=Assumptions!$B$5,Pricing_Model!J41,0)</f>
        <v>0</v>
      </c>
      <c r="K42" s="5">
        <f t="shared" si="10"/>
        <v>0.06</v>
      </c>
      <c r="L42" s="2">
        <f t="shared" si="2"/>
        <v>0.94339622641509424</v>
      </c>
      <c r="M42" s="13">
        <f t="shared" si="3"/>
        <v>0</v>
      </c>
      <c r="R42">
        <f t="shared" si="4"/>
        <v>34</v>
      </c>
      <c r="S42">
        <f t="shared" si="5"/>
        <v>68</v>
      </c>
      <c r="T42" s="13">
        <f>IF(R42&lt;=Assumptions!$B$5,Pricing_Model!T41,0)</f>
        <v>0</v>
      </c>
      <c r="U42" s="13">
        <f>IF(R42&lt;=Assumptions!$B$5,Pricing_Model!U41,0)</f>
        <v>0</v>
      </c>
      <c r="V42" s="2">
        <f t="shared" si="0"/>
        <v>0.82917738871769608</v>
      </c>
      <c r="W42" s="13">
        <f>IF(R42&lt;=Assumptions!$B$5,Pricing_Model!W41,0)</f>
        <v>0</v>
      </c>
      <c r="X42" s="13">
        <f t="shared" ref="X42:X58" si="12">(T42)*V41*L42^R41</f>
        <v>0</v>
      </c>
      <c r="Y42" s="13">
        <f t="shared" si="11"/>
        <v>0</v>
      </c>
    </row>
    <row r="43" spans="3:25" x14ac:dyDescent="0.3">
      <c r="C43">
        <f t="shared" si="7"/>
        <v>35</v>
      </c>
      <c r="D43">
        <f t="shared" si="7"/>
        <v>69</v>
      </c>
      <c r="E43" s="2">
        <f>VLOOKUP(D43,Mortality_Table!B41:D141,2,0)</f>
        <v>1.7595E-2</v>
      </c>
      <c r="F43" s="2">
        <f t="shared" si="1"/>
        <v>0.98240499999999997</v>
      </c>
      <c r="G43" s="2">
        <f t="shared" si="8"/>
        <v>0.81458801256320823</v>
      </c>
      <c r="H43" s="2">
        <f t="shared" si="9"/>
        <v>1.4589376154487863E-2</v>
      </c>
      <c r="I43" s="13">
        <f>IF(C43&lt;=Assumptions!$B$5,Pricing_Model!I42,0)</f>
        <v>0</v>
      </c>
      <c r="J43" s="13">
        <f>IF(C43&lt;=Assumptions!$B$5,Pricing_Model!J42,0)</f>
        <v>0</v>
      </c>
      <c r="K43" s="5">
        <f t="shared" si="10"/>
        <v>0.06</v>
      </c>
      <c r="L43" s="2">
        <f t="shared" si="2"/>
        <v>0.94339622641509424</v>
      </c>
      <c r="M43" s="13">
        <f t="shared" si="3"/>
        <v>0</v>
      </c>
      <c r="R43">
        <f t="shared" si="4"/>
        <v>35</v>
      </c>
      <c r="S43">
        <f t="shared" si="5"/>
        <v>69</v>
      </c>
      <c r="T43" s="13">
        <f>IF(R43&lt;=Assumptions!$B$5,Pricing_Model!T42,0)</f>
        <v>0</v>
      </c>
      <c r="U43" s="13">
        <f>IF(R43&lt;=Assumptions!$B$5,Pricing_Model!U42,0)</f>
        <v>0</v>
      </c>
      <c r="V43" s="2">
        <f t="shared" si="0"/>
        <v>0.81458801256320823</v>
      </c>
      <c r="W43" s="13">
        <f>IF(R43&lt;=Assumptions!$B$5,Pricing_Model!W42,0)</f>
        <v>0</v>
      </c>
      <c r="X43" s="13">
        <f t="shared" si="12"/>
        <v>0</v>
      </c>
      <c r="Y43" s="13">
        <f t="shared" si="11"/>
        <v>0</v>
      </c>
    </row>
    <row r="44" spans="3:25" x14ac:dyDescent="0.3">
      <c r="C44">
        <f t="shared" si="7"/>
        <v>36</v>
      </c>
      <c r="D44">
        <f t="shared" si="7"/>
        <v>70</v>
      </c>
      <c r="E44" s="2">
        <f>VLOOKUP(D44,Mortality_Table!B42:D142,2,0)</f>
        <v>1.9526999999999999E-2</v>
      </c>
      <c r="F44" s="2">
        <f t="shared" si="1"/>
        <v>0.98047300000000004</v>
      </c>
      <c r="G44" s="2">
        <f t="shared" si="8"/>
        <v>0.79868155244188654</v>
      </c>
      <c r="H44" s="2">
        <f t="shared" si="9"/>
        <v>1.5906460121321766E-2</v>
      </c>
      <c r="I44" s="13">
        <f>IF(C44&lt;=Assumptions!$B$5,Pricing_Model!I43,0)</f>
        <v>0</v>
      </c>
      <c r="J44" s="13">
        <f>IF(C44&lt;=Assumptions!$B$5,Pricing_Model!J43,0)</f>
        <v>0</v>
      </c>
      <c r="K44" s="5">
        <f t="shared" si="10"/>
        <v>0.06</v>
      </c>
      <c r="L44" s="2">
        <f t="shared" si="2"/>
        <v>0.94339622641509424</v>
      </c>
      <c r="M44" s="13">
        <f t="shared" si="3"/>
        <v>0</v>
      </c>
      <c r="R44">
        <f t="shared" si="4"/>
        <v>36</v>
      </c>
      <c r="S44">
        <f t="shared" si="5"/>
        <v>70</v>
      </c>
      <c r="T44" s="13">
        <f>IF(R44&lt;=Assumptions!$B$5,Pricing_Model!T43,0)</f>
        <v>0</v>
      </c>
      <c r="U44" s="13">
        <f>IF(R44&lt;=Assumptions!$B$5,Pricing_Model!U43,0)</f>
        <v>0</v>
      </c>
      <c r="V44" s="2">
        <f t="shared" si="0"/>
        <v>0.79868155244188654</v>
      </c>
      <c r="W44" s="13">
        <f>IF(R44&lt;=Assumptions!$B$5,Pricing_Model!W43,0)</f>
        <v>0</v>
      </c>
      <c r="X44" s="13">
        <f t="shared" si="12"/>
        <v>0</v>
      </c>
      <c r="Y44" s="13">
        <f t="shared" si="11"/>
        <v>0</v>
      </c>
    </row>
    <row r="45" spans="3:25" x14ac:dyDescent="0.3">
      <c r="C45">
        <f t="shared" si="7"/>
        <v>37</v>
      </c>
      <c r="D45">
        <f t="shared" si="7"/>
        <v>71</v>
      </c>
      <c r="E45" s="2">
        <f>VLOOKUP(D45,Mortality_Table!B43:D143,2,0)</f>
        <v>2.1506000000000001E-2</v>
      </c>
      <c r="F45" s="2">
        <f t="shared" si="1"/>
        <v>0.97849399999999997</v>
      </c>
      <c r="G45" s="2">
        <f t="shared" si="8"/>
        <v>0.78150510697507136</v>
      </c>
      <c r="H45" s="2">
        <f t="shared" si="9"/>
        <v>1.7176445466815213E-2</v>
      </c>
      <c r="I45" s="13">
        <f>IF(C45&lt;=Assumptions!$B$5,Pricing_Model!I44,0)</f>
        <v>0</v>
      </c>
      <c r="J45" s="13">
        <f>IF(C45&lt;=Assumptions!$B$5,Pricing_Model!J44,0)</f>
        <v>0</v>
      </c>
      <c r="K45" s="5">
        <f t="shared" si="10"/>
        <v>0.06</v>
      </c>
      <c r="L45" s="2">
        <f t="shared" si="2"/>
        <v>0.94339622641509424</v>
      </c>
      <c r="M45" s="13">
        <f t="shared" si="3"/>
        <v>0</v>
      </c>
      <c r="R45">
        <f t="shared" si="4"/>
        <v>37</v>
      </c>
      <c r="S45">
        <f t="shared" si="5"/>
        <v>71</v>
      </c>
      <c r="T45" s="13">
        <f>IF(R45&lt;=Assumptions!$B$5,Pricing_Model!T44,0)</f>
        <v>0</v>
      </c>
      <c r="U45" s="13">
        <f>IF(R45&lt;=Assumptions!$B$5,Pricing_Model!U44,0)</f>
        <v>0</v>
      </c>
      <c r="V45" s="2">
        <f t="shared" si="0"/>
        <v>0.78150510697507136</v>
      </c>
      <c r="W45" s="13">
        <f>IF(R45&lt;=Assumptions!$B$5,Pricing_Model!W44,0)</f>
        <v>0</v>
      </c>
      <c r="X45" s="13">
        <f t="shared" si="12"/>
        <v>0</v>
      </c>
      <c r="Y45" s="13">
        <f t="shared" si="11"/>
        <v>0</v>
      </c>
    </row>
    <row r="46" spans="3:25" x14ac:dyDescent="0.3">
      <c r="C46">
        <f t="shared" si="7"/>
        <v>38</v>
      </c>
      <c r="D46">
        <f t="shared" si="7"/>
        <v>72</v>
      </c>
      <c r="E46" s="2">
        <f>VLOOKUP(D46,Mortality_Table!B44:D144,2,0)</f>
        <v>2.3614E-2</v>
      </c>
      <c r="F46" s="2">
        <f t="shared" si="1"/>
        <v>0.97638599999999998</v>
      </c>
      <c r="G46" s="2">
        <f t="shared" si="8"/>
        <v>0.76305064537896206</v>
      </c>
      <c r="H46" s="2">
        <f t="shared" si="9"/>
        <v>1.8454461596109334E-2</v>
      </c>
      <c r="I46" s="13">
        <f>IF(C46&lt;=Assumptions!$B$5,Pricing_Model!I45,0)</f>
        <v>0</v>
      </c>
      <c r="J46" s="13">
        <f>IF(C46&lt;=Assumptions!$B$5,Pricing_Model!J45,0)</f>
        <v>0</v>
      </c>
      <c r="K46" s="5">
        <f t="shared" si="10"/>
        <v>0.06</v>
      </c>
      <c r="L46" s="2">
        <f t="shared" si="2"/>
        <v>0.94339622641509424</v>
      </c>
      <c r="M46" s="13">
        <f t="shared" si="3"/>
        <v>0</v>
      </c>
      <c r="R46">
        <f t="shared" si="4"/>
        <v>38</v>
      </c>
      <c r="S46">
        <f t="shared" si="5"/>
        <v>72</v>
      </c>
      <c r="T46" s="13">
        <f>IF(R46&lt;=Assumptions!$B$5,Pricing_Model!T45,0)</f>
        <v>0</v>
      </c>
      <c r="U46" s="13">
        <f>IF(R46&lt;=Assumptions!$B$5,Pricing_Model!U45,0)</f>
        <v>0</v>
      </c>
      <c r="V46" s="2">
        <f t="shared" si="0"/>
        <v>0.76305064537896206</v>
      </c>
      <c r="W46" s="13">
        <f>IF(R46&lt;=Assumptions!$B$5,Pricing_Model!W45,0)</f>
        <v>0</v>
      </c>
      <c r="X46" s="13">
        <f t="shared" si="12"/>
        <v>0</v>
      </c>
      <c r="Y46" s="13">
        <f t="shared" si="11"/>
        <v>0</v>
      </c>
    </row>
    <row r="47" spans="3:25" x14ac:dyDescent="0.3">
      <c r="C47">
        <f t="shared" si="7"/>
        <v>39</v>
      </c>
      <c r="D47">
        <f t="shared" si="7"/>
        <v>73</v>
      </c>
      <c r="E47" s="2">
        <f>VLOOKUP(D47,Mortality_Table!B45:D145,2,0)</f>
        <v>2.5472999999999999E-2</v>
      </c>
      <c r="F47" s="2">
        <f t="shared" si="1"/>
        <v>0.97452700000000003</v>
      </c>
      <c r="G47" s="2">
        <f t="shared" si="8"/>
        <v>0.74361345628922382</v>
      </c>
      <c r="H47" s="2">
        <f t="shared" si="9"/>
        <v>1.9437189089738301E-2</v>
      </c>
      <c r="I47" s="13">
        <f>IF(C47&lt;=Assumptions!$B$5,Pricing_Model!I46,0)</f>
        <v>0</v>
      </c>
      <c r="J47" s="13">
        <f>IF(C47&lt;=Assumptions!$B$5,Pricing_Model!J46,0)</f>
        <v>0</v>
      </c>
      <c r="K47" s="5">
        <f t="shared" si="10"/>
        <v>0.06</v>
      </c>
      <c r="L47" s="2">
        <f t="shared" si="2"/>
        <v>0.94339622641509424</v>
      </c>
      <c r="M47" s="13">
        <f t="shared" si="3"/>
        <v>0</v>
      </c>
      <c r="R47">
        <f t="shared" si="4"/>
        <v>39</v>
      </c>
      <c r="S47">
        <f t="shared" si="5"/>
        <v>73</v>
      </c>
      <c r="T47" s="13">
        <f>IF(R47&lt;=Assumptions!$B$5,Pricing_Model!T46,0)</f>
        <v>0</v>
      </c>
      <c r="U47" s="13">
        <f>IF(R47&lt;=Assumptions!$B$5,Pricing_Model!U46,0)</f>
        <v>0</v>
      </c>
      <c r="V47" s="2">
        <f t="shared" si="0"/>
        <v>0.74361345628922382</v>
      </c>
      <c r="W47" s="13">
        <f>IF(R47&lt;=Assumptions!$B$5,Pricing_Model!W46,0)</f>
        <v>0</v>
      </c>
      <c r="X47" s="13">
        <f t="shared" si="12"/>
        <v>0</v>
      </c>
      <c r="Y47" s="13">
        <f t="shared" si="11"/>
        <v>0</v>
      </c>
    </row>
    <row r="48" spans="3:25" x14ac:dyDescent="0.3">
      <c r="C48">
        <f t="shared" si="7"/>
        <v>40</v>
      </c>
      <c r="D48">
        <f t="shared" si="7"/>
        <v>74</v>
      </c>
      <c r="E48" s="2">
        <f>VLOOKUP(D48,Mortality_Table!B46:D146,2,0)</f>
        <v>2.7789000000000001E-2</v>
      </c>
      <c r="F48" s="2">
        <f t="shared" si="1"/>
        <v>0.97221100000000005</v>
      </c>
      <c r="G48" s="2">
        <f t="shared" si="8"/>
        <v>0.72294918195240265</v>
      </c>
      <c r="H48" s="2">
        <f t="shared" si="9"/>
        <v>2.0664274336821241E-2</v>
      </c>
      <c r="I48" s="13">
        <f>IF(C48&lt;=Assumptions!$B$5,Pricing_Model!I47,0)</f>
        <v>0</v>
      </c>
      <c r="J48" s="13">
        <f>IF(C48&lt;=Assumptions!$B$5,Pricing_Model!J47,0)</f>
        <v>0</v>
      </c>
      <c r="K48" s="5">
        <f t="shared" si="10"/>
        <v>0.06</v>
      </c>
      <c r="L48" s="2">
        <f t="shared" si="2"/>
        <v>0.94339622641509424</v>
      </c>
      <c r="M48" s="13">
        <f t="shared" si="3"/>
        <v>0</v>
      </c>
      <c r="R48">
        <f t="shared" si="4"/>
        <v>40</v>
      </c>
      <c r="S48">
        <f t="shared" si="5"/>
        <v>74</v>
      </c>
      <c r="T48" s="13">
        <f>IF(R48&lt;=Assumptions!$B$5,Pricing_Model!T47,0)</f>
        <v>0</v>
      </c>
      <c r="U48" s="13">
        <f>IF(R48&lt;=Assumptions!$B$5,Pricing_Model!U47,0)</f>
        <v>0</v>
      </c>
      <c r="V48" s="2">
        <f t="shared" si="0"/>
        <v>0.72294918195240265</v>
      </c>
      <c r="W48" s="13">
        <f>IF(R48&lt;=Assumptions!$B$5,Pricing_Model!W47,0)</f>
        <v>0</v>
      </c>
      <c r="X48" s="13">
        <f t="shared" si="12"/>
        <v>0</v>
      </c>
      <c r="Y48" s="13">
        <f t="shared" si="11"/>
        <v>0</v>
      </c>
    </row>
    <row r="49" spans="3:27" x14ac:dyDescent="0.3">
      <c r="C49">
        <f t="shared" si="7"/>
        <v>41</v>
      </c>
      <c r="D49">
        <f t="shared" si="7"/>
        <v>75</v>
      </c>
      <c r="E49" s="2">
        <f>VLOOKUP(D49,Mortality_Table!B47:D147,2,0)</f>
        <v>3.0318999999999999E-2</v>
      </c>
      <c r="F49" s="2">
        <f t="shared" si="1"/>
        <v>0.96968100000000002</v>
      </c>
      <c r="G49" s="2">
        <f t="shared" si="8"/>
        <v>0.70103008570478775</v>
      </c>
      <c r="H49" s="2">
        <f t="shared" si="9"/>
        <v>2.1919096247614896E-2</v>
      </c>
      <c r="I49" s="13">
        <f>IF(C49&lt;=Assumptions!$B$5,Pricing_Model!I48,0)</f>
        <v>0</v>
      </c>
      <c r="J49" s="13">
        <f>IF(C49&lt;=Assumptions!$B$5,Pricing_Model!J48,0)</f>
        <v>0</v>
      </c>
      <c r="K49" s="5">
        <f t="shared" si="10"/>
        <v>0.06</v>
      </c>
      <c r="L49" s="2">
        <f t="shared" si="2"/>
        <v>0.94339622641509424</v>
      </c>
      <c r="M49" s="13">
        <f t="shared" si="3"/>
        <v>0</v>
      </c>
      <c r="R49">
        <f t="shared" si="4"/>
        <v>41</v>
      </c>
      <c r="S49">
        <f t="shared" si="5"/>
        <v>75</v>
      </c>
      <c r="T49" s="13">
        <f>IF(R49&lt;=Assumptions!$B$5,Pricing_Model!T48,0)</f>
        <v>0</v>
      </c>
      <c r="U49" s="13">
        <f>IF(R49&lt;=Assumptions!$B$5,Pricing_Model!U48,0)</f>
        <v>0</v>
      </c>
      <c r="V49" s="2">
        <f t="shared" si="0"/>
        <v>0.70103008570478775</v>
      </c>
      <c r="W49" s="13">
        <f>IF(R49&lt;=Assumptions!$B$5,Pricing_Model!W48,0)</f>
        <v>0</v>
      </c>
      <c r="X49" s="13">
        <f t="shared" si="12"/>
        <v>0</v>
      </c>
      <c r="Y49" s="13">
        <f t="shared" si="11"/>
        <v>0</v>
      </c>
    </row>
    <row r="50" spans="3:27" x14ac:dyDescent="0.3">
      <c r="C50">
        <f t="shared" si="7"/>
        <v>42</v>
      </c>
      <c r="D50">
        <f t="shared" si="7"/>
        <v>76</v>
      </c>
      <c r="E50" s="2">
        <f>VLOOKUP(D50,Mortality_Table!B48:D148,2,0)</f>
        <v>3.3748E-2</v>
      </c>
      <c r="F50" s="2">
        <f t="shared" si="1"/>
        <v>0.966252</v>
      </c>
      <c r="G50" s="2">
        <f t="shared" si="8"/>
        <v>0.6773717223724226</v>
      </c>
      <c r="H50" s="2">
        <f t="shared" si="9"/>
        <v>2.3658363332365179E-2</v>
      </c>
      <c r="I50" s="13">
        <f>IF(C50&lt;=Assumptions!$B$5,Pricing_Model!I49,0)</f>
        <v>0</v>
      </c>
      <c r="J50" s="13">
        <f>IF(C50&lt;=Assumptions!$B$5,Pricing_Model!J49,0)</f>
        <v>0</v>
      </c>
      <c r="K50" s="5">
        <f t="shared" si="10"/>
        <v>0.06</v>
      </c>
      <c r="L50" s="2">
        <f t="shared" si="2"/>
        <v>0.94339622641509424</v>
      </c>
      <c r="M50" s="13">
        <f t="shared" si="3"/>
        <v>0</v>
      </c>
      <c r="R50">
        <f t="shared" si="4"/>
        <v>42</v>
      </c>
      <c r="S50">
        <f t="shared" si="5"/>
        <v>76</v>
      </c>
      <c r="T50" s="13">
        <f>IF(R50&lt;=Assumptions!$B$5,Pricing_Model!T49,0)</f>
        <v>0</v>
      </c>
      <c r="U50" s="13">
        <f>IF(R50&lt;=Assumptions!$B$5,Pricing_Model!U49,0)</f>
        <v>0</v>
      </c>
      <c r="V50" s="2">
        <f t="shared" si="0"/>
        <v>0.6773717223724226</v>
      </c>
      <c r="W50" s="13">
        <f>IF(R50&lt;=Assumptions!$B$5,Pricing_Model!W49,0)</f>
        <v>0</v>
      </c>
      <c r="X50" s="13">
        <f t="shared" si="12"/>
        <v>0</v>
      </c>
      <c r="Y50" s="13">
        <f t="shared" si="11"/>
        <v>0</v>
      </c>
    </row>
    <row r="51" spans="3:27" x14ac:dyDescent="0.3">
      <c r="C51">
        <f t="shared" si="7"/>
        <v>43</v>
      </c>
      <c r="D51">
        <f t="shared" si="7"/>
        <v>77</v>
      </c>
      <c r="E51" s="2">
        <f>VLOOKUP(D51,Mortality_Table!B49:D149,2,0)</f>
        <v>3.7142000000000001E-2</v>
      </c>
      <c r="F51" s="2">
        <f t="shared" si="1"/>
        <v>0.96285799999999999</v>
      </c>
      <c r="G51" s="2">
        <f t="shared" si="8"/>
        <v>0.65221278186006604</v>
      </c>
      <c r="H51" s="2">
        <f t="shared" si="9"/>
        <v>2.5158940512356523E-2</v>
      </c>
      <c r="I51" s="13">
        <f>IF(C51&lt;=Assumptions!$B$5,Pricing_Model!I50,0)</f>
        <v>0</v>
      </c>
      <c r="J51" s="13">
        <f>IF(C51&lt;=Assumptions!$B$5,Pricing_Model!J50,0)</f>
        <v>0</v>
      </c>
      <c r="K51" s="5">
        <f t="shared" si="10"/>
        <v>0.06</v>
      </c>
      <c r="L51" s="2">
        <f t="shared" si="2"/>
        <v>0.94339622641509424</v>
      </c>
      <c r="M51" s="13">
        <f t="shared" si="3"/>
        <v>0</v>
      </c>
      <c r="R51">
        <f t="shared" si="4"/>
        <v>43</v>
      </c>
      <c r="S51">
        <f t="shared" si="5"/>
        <v>77</v>
      </c>
      <c r="T51" s="13">
        <f>IF(R51&lt;=Assumptions!$B$5,Pricing_Model!T50,0)</f>
        <v>0</v>
      </c>
      <c r="U51" s="13">
        <f>IF(R51&lt;=Assumptions!$B$5,Pricing_Model!U50,0)</f>
        <v>0</v>
      </c>
      <c r="V51" s="2">
        <f t="shared" si="0"/>
        <v>0.65221278186006604</v>
      </c>
      <c r="W51" s="13">
        <f>IF(R51&lt;=Assumptions!$B$5,Pricing_Model!W50,0)</f>
        <v>0</v>
      </c>
      <c r="X51" s="13">
        <f t="shared" si="12"/>
        <v>0</v>
      </c>
      <c r="Y51" s="13">
        <f t="shared" si="11"/>
        <v>0</v>
      </c>
    </row>
    <row r="52" spans="3:27" x14ac:dyDescent="0.3">
      <c r="C52">
        <f t="shared" si="7"/>
        <v>44</v>
      </c>
      <c r="D52">
        <f t="shared" si="7"/>
        <v>78</v>
      </c>
      <c r="E52" s="2">
        <f>VLOOKUP(D52,Mortality_Table!B50:D150,2,0)</f>
        <v>4.2361000000000003E-2</v>
      </c>
      <c r="F52" s="2">
        <f t="shared" si="1"/>
        <v>0.95763900000000002</v>
      </c>
      <c r="G52" s="2">
        <f t="shared" si="8"/>
        <v>0.62458439620769179</v>
      </c>
      <c r="H52" s="2">
        <f t="shared" si="9"/>
        <v>2.7628385652374261E-2</v>
      </c>
      <c r="I52" s="13">
        <f>IF(C52&lt;=Assumptions!$B$5,Pricing_Model!I51,0)</f>
        <v>0</v>
      </c>
      <c r="J52" s="13">
        <f>IF(C52&lt;=Assumptions!$B$5,Pricing_Model!J51,0)</f>
        <v>0</v>
      </c>
      <c r="K52" s="5">
        <f t="shared" si="10"/>
        <v>0.06</v>
      </c>
      <c r="L52" s="2">
        <f t="shared" si="2"/>
        <v>0.94339622641509424</v>
      </c>
      <c r="M52" s="13">
        <f t="shared" si="3"/>
        <v>0</v>
      </c>
      <c r="R52">
        <f t="shared" si="4"/>
        <v>44</v>
      </c>
      <c r="S52">
        <f t="shared" si="5"/>
        <v>78</v>
      </c>
      <c r="T52" s="13">
        <f>IF(R52&lt;=Assumptions!$B$5,Pricing_Model!T51,0)</f>
        <v>0</v>
      </c>
      <c r="U52" s="13">
        <f>IF(R52&lt;=Assumptions!$B$5,Pricing_Model!U51,0)</f>
        <v>0</v>
      </c>
      <c r="V52" s="2">
        <f t="shared" si="0"/>
        <v>0.62458439620769179</v>
      </c>
      <c r="W52" s="13">
        <f>IF(R52&lt;=Assumptions!$B$5,Pricing_Model!W51,0)</f>
        <v>0</v>
      </c>
      <c r="X52" s="13">
        <f t="shared" si="12"/>
        <v>0</v>
      </c>
      <c r="Y52" s="13">
        <f t="shared" si="11"/>
        <v>0</v>
      </c>
    </row>
    <row r="53" spans="3:27" x14ac:dyDescent="0.3">
      <c r="C53">
        <f t="shared" si="7"/>
        <v>45</v>
      </c>
      <c r="D53">
        <f t="shared" si="7"/>
        <v>79</v>
      </c>
      <c r="E53" s="2">
        <f>VLOOKUP(D53,Mortality_Table!B51:D151,2,0)</f>
        <v>4.6880999999999999E-2</v>
      </c>
      <c r="F53" s="2">
        <f t="shared" si="1"/>
        <v>0.95311900000000005</v>
      </c>
      <c r="G53" s="2">
        <f t="shared" si="8"/>
        <v>0.595303255129079</v>
      </c>
      <c r="H53" s="2">
        <f t="shared" si="9"/>
        <v>2.9281141078612797E-2</v>
      </c>
      <c r="I53" s="13">
        <f>IF(C53&lt;=Assumptions!$B$5,Pricing_Model!I52,0)</f>
        <v>0</v>
      </c>
      <c r="J53" s="13">
        <f>IF(C53&lt;=Assumptions!$B$5,Pricing_Model!J52,0)</f>
        <v>0</v>
      </c>
      <c r="K53" s="5">
        <f t="shared" si="10"/>
        <v>0.06</v>
      </c>
      <c r="L53" s="2">
        <f t="shared" si="2"/>
        <v>0.94339622641509424</v>
      </c>
      <c r="M53" s="13">
        <f t="shared" si="3"/>
        <v>0</v>
      </c>
      <c r="R53">
        <f t="shared" si="4"/>
        <v>45</v>
      </c>
      <c r="S53">
        <f t="shared" si="5"/>
        <v>79</v>
      </c>
      <c r="T53" s="13">
        <f>IF(R53&lt;=Assumptions!$B$5,Pricing_Model!T52,0)</f>
        <v>0</v>
      </c>
      <c r="U53" s="13">
        <f>IF(R53&lt;=Assumptions!$B$5,Pricing_Model!U52,0)</f>
        <v>0</v>
      </c>
      <c r="V53" s="2">
        <f t="shared" si="0"/>
        <v>0.595303255129079</v>
      </c>
      <c r="W53" s="13">
        <f>IF(R53&lt;=Assumptions!$B$5,Pricing_Model!W52,0)</f>
        <v>0</v>
      </c>
      <c r="X53" s="13">
        <f t="shared" si="12"/>
        <v>0</v>
      </c>
      <c r="Y53" s="13">
        <f t="shared" si="11"/>
        <v>0</v>
      </c>
    </row>
    <row r="54" spans="3:27" x14ac:dyDescent="0.3">
      <c r="C54">
        <f t="shared" si="7"/>
        <v>46</v>
      </c>
      <c r="D54">
        <f t="shared" si="7"/>
        <v>80</v>
      </c>
      <c r="E54" s="2">
        <f>VLOOKUP(D54,Mortality_Table!B52:D152,2,0)</f>
        <v>5.2664999999999997E-2</v>
      </c>
      <c r="F54" s="2">
        <f t="shared" si="1"/>
        <v>0.94733500000000004</v>
      </c>
      <c r="G54" s="2">
        <f t="shared" si="8"/>
        <v>0.56395160919770604</v>
      </c>
      <c r="H54" s="2">
        <f t="shared" si="9"/>
        <v>3.1351645931372941E-2</v>
      </c>
      <c r="I54" s="13">
        <f>IF(C54&lt;=Assumptions!$B$5,Pricing_Model!I53,0)</f>
        <v>0</v>
      </c>
      <c r="J54" s="13">
        <f>IF(C54&lt;=Assumptions!$B$5,Pricing_Model!J53,0)</f>
        <v>0</v>
      </c>
      <c r="K54" s="5">
        <f t="shared" si="10"/>
        <v>0.06</v>
      </c>
      <c r="L54" s="2">
        <f t="shared" si="2"/>
        <v>0.94339622641509424</v>
      </c>
      <c r="M54" s="13">
        <f t="shared" si="3"/>
        <v>0</v>
      </c>
      <c r="R54">
        <f t="shared" si="4"/>
        <v>46</v>
      </c>
      <c r="S54">
        <f t="shared" si="5"/>
        <v>80</v>
      </c>
      <c r="T54" s="13">
        <f>IF(R54&lt;=Assumptions!$B$5,Pricing_Model!T53,0)</f>
        <v>0</v>
      </c>
      <c r="U54" s="13">
        <f>IF(R54&lt;=Assumptions!$B$5,Pricing_Model!U53,0)</f>
        <v>0</v>
      </c>
      <c r="V54" s="2">
        <f t="shared" si="0"/>
        <v>0.56395160919770604</v>
      </c>
      <c r="W54" s="13">
        <f>IF(R54&lt;=Assumptions!$B$5,Pricing_Model!W53,0)</f>
        <v>0</v>
      </c>
      <c r="X54" s="13">
        <f t="shared" si="12"/>
        <v>0</v>
      </c>
      <c r="Y54" s="13">
        <f t="shared" si="11"/>
        <v>0</v>
      </c>
    </row>
    <row r="55" spans="3:27" x14ac:dyDescent="0.3">
      <c r="C55">
        <f t="shared" si="7"/>
        <v>47</v>
      </c>
      <c r="D55">
        <f t="shared" si="7"/>
        <v>81</v>
      </c>
      <c r="E55" s="2">
        <f>VLOOKUP(D55,Mortality_Table!B53:D153,2,0)</f>
        <v>5.9665999999999997E-2</v>
      </c>
      <c r="F55" s="2">
        <f t="shared" si="1"/>
        <v>0.940334</v>
      </c>
      <c r="G55" s="2">
        <f t="shared" si="8"/>
        <v>0.53030287248331576</v>
      </c>
      <c r="H55" s="2">
        <f t="shared" si="9"/>
        <v>3.364873671439033E-2</v>
      </c>
      <c r="I55" s="13">
        <f>IF(C55&lt;=Assumptions!$B$5,Pricing_Model!I54,0)</f>
        <v>0</v>
      </c>
      <c r="J55" s="13">
        <f>IF(C55&lt;=Assumptions!$B$5,Pricing_Model!J54,0)</f>
        <v>0</v>
      </c>
      <c r="K55" s="5">
        <f t="shared" si="10"/>
        <v>0.06</v>
      </c>
      <c r="L55" s="2">
        <f t="shared" si="2"/>
        <v>0.94339622641509424</v>
      </c>
      <c r="M55" s="13">
        <f t="shared" si="3"/>
        <v>0</v>
      </c>
      <c r="R55">
        <f t="shared" si="4"/>
        <v>47</v>
      </c>
      <c r="S55">
        <f t="shared" si="5"/>
        <v>81</v>
      </c>
      <c r="T55" s="13">
        <f>IF(R55&lt;=Assumptions!$B$5,Pricing_Model!T54,0)</f>
        <v>0</v>
      </c>
      <c r="U55" s="13">
        <f>IF(R55&lt;=Assumptions!$B$5,Pricing_Model!U54,0)</f>
        <v>0</v>
      </c>
      <c r="V55" s="2">
        <f t="shared" si="0"/>
        <v>0.53030287248331576</v>
      </c>
      <c r="W55" s="13">
        <f>IF(R55&lt;=Assumptions!$B$5,Pricing_Model!W54,0)</f>
        <v>0</v>
      </c>
      <c r="X55" s="13">
        <f t="shared" si="12"/>
        <v>0</v>
      </c>
      <c r="Y55" s="13">
        <f t="shared" si="11"/>
        <v>0</v>
      </c>
    </row>
    <row r="56" spans="3:27" x14ac:dyDescent="0.3">
      <c r="C56">
        <f t="shared" si="7"/>
        <v>48</v>
      </c>
      <c r="D56">
        <f t="shared" si="7"/>
        <v>82</v>
      </c>
      <c r="E56" s="2">
        <f>VLOOKUP(D56,Mortality_Table!B54:D154,2,0)</f>
        <v>6.7996000000000001E-2</v>
      </c>
      <c r="F56" s="2">
        <f t="shared" si="1"/>
        <v>0.93200400000000005</v>
      </c>
      <c r="G56" s="2">
        <f t="shared" si="8"/>
        <v>0.49424439836594025</v>
      </c>
      <c r="H56" s="2">
        <f t="shared" si="9"/>
        <v>3.605847411737554E-2</v>
      </c>
      <c r="I56" s="13">
        <f>IF(C56&lt;=Assumptions!$B$5,Pricing_Model!I55,0)</f>
        <v>0</v>
      </c>
      <c r="J56" s="13">
        <f>IF(C56&lt;=Assumptions!$B$5,Pricing_Model!J55,0)</f>
        <v>0</v>
      </c>
      <c r="K56" s="5">
        <f t="shared" si="10"/>
        <v>0.06</v>
      </c>
      <c r="L56" s="2">
        <f t="shared" si="2"/>
        <v>0.94339622641509424</v>
      </c>
      <c r="M56" s="13">
        <f t="shared" si="3"/>
        <v>0</v>
      </c>
      <c r="R56">
        <f t="shared" si="4"/>
        <v>48</v>
      </c>
      <c r="S56">
        <f t="shared" si="5"/>
        <v>82</v>
      </c>
      <c r="T56" s="13">
        <f>IF(R56&lt;=Assumptions!$B$5,Pricing_Model!T55,0)</f>
        <v>0</v>
      </c>
      <c r="U56" s="13">
        <f>IF(R56&lt;=Assumptions!$B$5,Pricing_Model!U55,0)</f>
        <v>0</v>
      </c>
      <c r="V56" s="2">
        <f t="shared" si="0"/>
        <v>0.49424439836594025</v>
      </c>
      <c r="W56" s="13">
        <f>IF(R56&lt;=Assumptions!$B$5,Pricing_Model!W55,0)</f>
        <v>0</v>
      </c>
      <c r="X56" s="13">
        <f t="shared" si="12"/>
        <v>0</v>
      </c>
      <c r="Y56" s="13">
        <f t="shared" si="11"/>
        <v>0</v>
      </c>
    </row>
    <row r="57" spans="3:27" x14ac:dyDescent="0.3">
      <c r="C57">
        <f t="shared" si="7"/>
        <v>49</v>
      </c>
      <c r="D57">
        <f t="shared" si="7"/>
        <v>83</v>
      </c>
      <c r="E57" s="2">
        <f>VLOOKUP(D57,Mortality_Table!B55:D155,2,0)</f>
        <v>7.5244000000000005E-2</v>
      </c>
      <c r="F57" s="2">
        <f t="shared" si="1"/>
        <v>0.92475600000000002</v>
      </c>
      <c r="G57" s="2">
        <f t="shared" si="8"/>
        <v>0.45705547285529347</v>
      </c>
      <c r="H57" s="2">
        <f t="shared" si="9"/>
        <v>3.7188925510646814E-2</v>
      </c>
      <c r="I57" s="13">
        <f>IF(C57&lt;=Assumptions!$B$5,Pricing_Model!I56,0)</f>
        <v>0</v>
      </c>
      <c r="J57" s="13">
        <f>IF(C57&lt;=Assumptions!$B$5,Pricing_Model!J56,0)</f>
        <v>0</v>
      </c>
      <c r="K57" s="5">
        <f t="shared" si="10"/>
        <v>0.06</v>
      </c>
      <c r="L57" s="2">
        <f t="shared" si="2"/>
        <v>0.94339622641509424</v>
      </c>
      <c r="M57" s="13">
        <f t="shared" si="3"/>
        <v>0</v>
      </c>
      <c r="R57">
        <f t="shared" si="4"/>
        <v>49</v>
      </c>
      <c r="S57">
        <f t="shared" si="5"/>
        <v>83</v>
      </c>
      <c r="T57" s="13">
        <f>IF(R57&lt;=Assumptions!$B$5,Pricing_Model!T56,0)</f>
        <v>0</v>
      </c>
      <c r="U57" s="13">
        <f>IF(R57&lt;=Assumptions!$B$5,Pricing_Model!U56,0)</f>
        <v>0</v>
      </c>
      <c r="V57" s="2">
        <f t="shared" si="0"/>
        <v>0.45705547285529347</v>
      </c>
      <c r="W57" s="13">
        <f>IF(R57&lt;=Assumptions!$B$5,Pricing_Model!W56,0)</f>
        <v>0</v>
      </c>
      <c r="X57" s="13">
        <f t="shared" si="12"/>
        <v>0</v>
      </c>
      <c r="Y57" s="13">
        <f t="shared" si="11"/>
        <v>0</v>
      </c>
    </row>
    <row r="58" spans="3:27" x14ac:dyDescent="0.3">
      <c r="C58">
        <f t="shared" si="7"/>
        <v>50</v>
      </c>
      <c r="D58">
        <f t="shared" si="7"/>
        <v>84</v>
      </c>
      <c r="E58" s="2">
        <f>VLOOKUP(D58,Mortality_Table!B56:D156,2,0)</f>
        <v>8.4093000000000001E-2</v>
      </c>
      <c r="F58" s="2">
        <f t="shared" si="1"/>
        <v>0.91590700000000003</v>
      </c>
      <c r="G58" s="2">
        <f t="shared" si="8"/>
        <v>0.41862030697647329</v>
      </c>
      <c r="H58" s="2">
        <f t="shared" si="9"/>
        <v>3.8435165878820191E-2</v>
      </c>
      <c r="I58" s="13">
        <f>IF(C58&lt;=Assumptions!$B$5,Pricing_Model!I57,0)</f>
        <v>0</v>
      </c>
      <c r="J58" s="13">
        <f>IF(C58&lt;=Assumptions!$B$5,Pricing_Model!J57,0)</f>
        <v>0</v>
      </c>
      <c r="K58" s="5">
        <f t="shared" si="10"/>
        <v>0.06</v>
      </c>
      <c r="L58" s="2">
        <f t="shared" si="2"/>
        <v>0.94339622641509424</v>
      </c>
      <c r="M58" s="13">
        <f t="shared" si="3"/>
        <v>0</v>
      </c>
      <c r="R58">
        <f t="shared" si="4"/>
        <v>50</v>
      </c>
      <c r="S58">
        <f t="shared" si="5"/>
        <v>84</v>
      </c>
      <c r="T58" s="13">
        <f>IF(R58&lt;=Assumptions!$B$5,Pricing_Model!T57,0)</f>
        <v>0</v>
      </c>
      <c r="U58" s="13">
        <f>IF(R58&lt;=Assumptions!$B$5,Pricing_Model!U57,0)</f>
        <v>0</v>
      </c>
      <c r="V58" s="2">
        <f t="shared" si="0"/>
        <v>0.41862030697647329</v>
      </c>
      <c r="W58" s="13">
        <f>IF(R58&lt;=Assumptions!$B$5,Pricing_Model!W57,0)</f>
        <v>0</v>
      </c>
      <c r="X58" s="13">
        <f t="shared" si="12"/>
        <v>0</v>
      </c>
      <c r="Y58" s="13">
        <f t="shared" si="11"/>
        <v>0</v>
      </c>
    </row>
    <row r="59" spans="3:27" x14ac:dyDescent="0.3">
      <c r="E59" s="2"/>
    </row>
    <row r="60" spans="3:27" x14ac:dyDescent="0.3">
      <c r="E60" s="2"/>
      <c r="L60" t="s">
        <v>28</v>
      </c>
      <c r="M60" s="7">
        <f>SUM(M9:M58)</f>
        <v>3293.8800129872911</v>
      </c>
      <c r="W60" t="s">
        <v>28</v>
      </c>
      <c r="X60" s="15">
        <f>SUM(X9:X58)</f>
        <v>13300.786416723866</v>
      </c>
      <c r="Y60" s="9">
        <f>SUM(Y9:Y34)</f>
        <v>16594.670000000006</v>
      </c>
      <c r="Z60" s="7" t="s">
        <v>56</v>
      </c>
      <c r="AA60" t="s">
        <v>38</v>
      </c>
    </row>
    <row r="61" spans="3:27" x14ac:dyDescent="0.3">
      <c r="E61" s="2"/>
    </row>
    <row r="62" spans="3:27" x14ac:dyDescent="0.3">
      <c r="E62" s="2"/>
    </row>
    <row r="63" spans="3:27" x14ac:dyDescent="0.3">
      <c r="E63" s="2"/>
    </row>
    <row r="64" spans="3:27" x14ac:dyDescent="0.3">
      <c r="E64" s="2"/>
    </row>
    <row r="65" spans="5:5" x14ac:dyDescent="0.3">
      <c r="E65" s="2"/>
    </row>
    <row r="66" spans="5:5" x14ac:dyDescent="0.3">
      <c r="E66" s="2"/>
    </row>
    <row r="67" spans="5:5" x14ac:dyDescent="0.3">
      <c r="E67" s="2"/>
    </row>
    <row r="68" spans="5:5" x14ac:dyDescent="0.3">
      <c r="E68" s="2"/>
    </row>
    <row r="69" spans="5:5" x14ac:dyDescent="0.3">
      <c r="E69" s="2"/>
    </row>
    <row r="70" spans="5:5" x14ac:dyDescent="0.3">
      <c r="E70" s="2"/>
    </row>
    <row r="71" spans="5:5" x14ac:dyDescent="0.3">
      <c r="E71" s="2"/>
    </row>
    <row r="72" spans="5:5" x14ac:dyDescent="0.3">
      <c r="E72" s="2"/>
    </row>
    <row r="73" spans="5:5" x14ac:dyDescent="0.3">
      <c r="E73" s="2"/>
    </row>
    <row r="74" spans="5:5" x14ac:dyDescent="0.3">
      <c r="E74" s="2"/>
    </row>
    <row r="75" spans="5:5" x14ac:dyDescent="0.3">
      <c r="E75" s="2"/>
    </row>
    <row r="76" spans="5:5" x14ac:dyDescent="0.3">
      <c r="E76" s="2"/>
    </row>
    <row r="77" spans="5:5" x14ac:dyDescent="0.3">
      <c r="E77" s="2"/>
    </row>
    <row r="78" spans="5:5" x14ac:dyDescent="0.3">
      <c r="E78" s="2"/>
    </row>
    <row r="79" spans="5:5" x14ac:dyDescent="0.3">
      <c r="E79" s="2"/>
    </row>
    <row r="80" spans="5:5" x14ac:dyDescent="0.3">
      <c r="E80" s="2"/>
    </row>
    <row r="81" spans="5:5" x14ac:dyDescent="0.3">
      <c r="E81" s="2"/>
    </row>
    <row r="82" spans="5:5" x14ac:dyDescent="0.3">
      <c r="E82" s="2"/>
    </row>
    <row r="83" spans="5:5" x14ac:dyDescent="0.3">
      <c r="E83" s="2"/>
    </row>
    <row r="84" spans="5:5" x14ac:dyDescent="0.3">
      <c r="E84" s="2"/>
    </row>
    <row r="85" spans="5:5" x14ac:dyDescent="0.3">
      <c r="E85" s="2"/>
    </row>
    <row r="86" spans="5:5" x14ac:dyDescent="0.3">
      <c r="E86" s="2"/>
    </row>
    <row r="87" spans="5:5" x14ac:dyDescent="0.3">
      <c r="E87" s="2"/>
    </row>
    <row r="88" spans="5:5" x14ac:dyDescent="0.3">
      <c r="E88" s="2"/>
    </row>
  </sheetData>
  <mergeCells count="3">
    <mergeCell ref="AF6:AL6"/>
    <mergeCell ref="C6:M6"/>
    <mergeCell ref="R6:Y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9A2E-B448-4D93-87D9-CBDCE33D223F}">
  <dimension ref="B1:Y60"/>
  <sheetViews>
    <sheetView topLeftCell="A3" zoomScale="78" zoomScaleNormal="100" workbookViewId="0">
      <selection activeCell="Y5" sqref="Y5"/>
    </sheetView>
  </sheetViews>
  <sheetFormatPr defaultRowHeight="14.4" x14ac:dyDescent="0.3"/>
  <cols>
    <col min="2" max="2" width="14.33203125" bestFit="1" customWidth="1"/>
    <col min="3" max="3" width="11.77734375" bestFit="1" customWidth="1"/>
    <col min="4" max="4" width="11.109375" bestFit="1" customWidth="1"/>
    <col min="6" max="6" width="9.44140625" customWidth="1"/>
    <col min="7" max="7" width="11.88671875" customWidth="1"/>
    <col min="8" max="8" width="9.5546875" bestFit="1" customWidth="1"/>
    <col min="9" max="9" width="11.5546875" bestFit="1" customWidth="1"/>
    <col min="10" max="11" width="9.88671875" customWidth="1"/>
    <col min="13" max="13" width="11.33203125" customWidth="1"/>
    <col min="14" max="14" width="8.88671875" customWidth="1"/>
    <col min="15" max="15" width="13.77734375" customWidth="1"/>
    <col min="16" max="16" width="12.33203125" customWidth="1"/>
    <col min="17" max="18" width="12.109375" customWidth="1"/>
    <col min="19" max="19" width="11.109375" customWidth="1"/>
    <col min="20" max="20" width="13" customWidth="1"/>
    <col min="22" max="22" width="9.77734375" customWidth="1"/>
  </cols>
  <sheetData>
    <row r="1" spans="2:25" x14ac:dyDescent="0.3">
      <c r="B1" t="s">
        <v>11</v>
      </c>
      <c r="C1" t="s">
        <v>39</v>
      </c>
      <c r="D1" t="s">
        <v>49</v>
      </c>
    </row>
    <row r="2" spans="2:25" x14ac:dyDescent="0.3">
      <c r="C2" t="s">
        <v>40</v>
      </c>
      <c r="D2" t="s">
        <v>50</v>
      </c>
    </row>
    <row r="5" spans="2:25" x14ac:dyDescent="0.3">
      <c r="C5" s="6" t="s">
        <v>29</v>
      </c>
      <c r="D5" s="7">
        <f>Pricing_Model!$T$2</f>
        <v>1273.1079354377571</v>
      </c>
      <c r="M5" s="6" t="s">
        <v>3</v>
      </c>
      <c r="N5">
        <f>Assumptions!$B$6</f>
        <v>100000</v>
      </c>
      <c r="Q5" s="6" t="s">
        <v>4</v>
      </c>
      <c r="R5" s="4">
        <f>Assumptions!B7</f>
        <v>0.06</v>
      </c>
      <c r="V5" t="s">
        <v>66</v>
      </c>
      <c r="Y5" s="21">
        <f>MAX(V11:V60)</f>
        <v>1.6656322180569283E-2</v>
      </c>
    </row>
    <row r="6" spans="2:25" x14ac:dyDescent="0.3">
      <c r="C6" s="6" t="s">
        <v>6</v>
      </c>
      <c r="D6" s="7">
        <f>Assumptions!$B$10*Reserving_Model!$D$5</f>
        <v>25.46215870875514</v>
      </c>
      <c r="M6" s="6" t="s">
        <v>17</v>
      </c>
      <c r="N6">
        <f>Assumptions!B9*Assumptions!B6</f>
        <v>500</v>
      </c>
      <c r="Q6" s="6" t="s">
        <v>41</v>
      </c>
      <c r="R6" s="2">
        <f>1/(1+$R$5)</f>
        <v>0.94339622641509424</v>
      </c>
    </row>
    <row r="7" spans="2:25" x14ac:dyDescent="0.3">
      <c r="C7" s="6" t="s">
        <v>46</v>
      </c>
      <c r="D7">
        <f>Assumptions!B8</f>
        <v>1000</v>
      </c>
      <c r="M7" s="6" t="s">
        <v>28</v>
      </c>
      <c r="N7">
        <f>SUM(N5:N6)</f>
        <v>100500</v>
      </c>
      <c r="Q7" s="4"/>
    </row>
    <row r="10" spans="2:25" ht="42" customHeight="1" x14ac:dyDescent="0.3">
      <c r="B10" t="s">
        <v>26</v>
      </c>
      <c r="C10" t="s">
        <v>8</v>
      </c>
      <c r="D10" t="s">
        <v>9</v>
      </c>
      <c r="E10" t="s">
        <v>20</v>
      </c>
      <c r="F10" s="10" t="s">
        <v>55</v>
      </c>
      <c r="G10" s="10" t="s">
        <v>33</v>
      </c>
      <c r="H10" s="10" t="s">
        <v>32</v>
      </c>
      <c r="I10" s="10" t="s">
        <v>57</v>
      </c>
      <c r="J10" s="10" t="s">
        <v>52</v>
      </c>
      <c r="K10" s="10" t="s">
        <v>53</v>
      </c>
      <c r="L10" s="10" t="s">
        <v>54</v>
      </c>
      <c r="M10" t="s">
        <v>39</v>
      </c>
      <c r="N10" t="s">
        <v>40</v>
      </c>
      <c r="O10" s="10" t="s">
        <v>43</v>
      </c>
      <c r="P10" s="10" t="s">
        <v>44</v>
      </c>
      <c r="Q10" s="10" t="s">
        <v>45</v>
      </c>
      <c r="R10" s="10" t="s">
        <v>47</v>
      </c>
      <c r="S10" s="11" t="s">
        <v>48</v>
      </c>
      <c r="T10" s="11" t="s">
        <v>58</v>
      </c>
      <c r="V10" s="10" t="s">
        <v>59</v>
      </c>
      <c r="W10" t="s">
        <v>60</v>
      </c>
    </row>
    <row r="11" spans="2:25" x14ac:dyDescent="0.3">
      <c r="B11">
        <f>Pricing_Model!C9</f>
        <v>1</v>
      </c>
      <c r="C11">
        <f>Assumptions!B3</f>
        <v>35</v>
      </c>
      <c r="D11" s="2">
        <f>VLOOKUP(C11,Mortality_Table!B7:D107,2,0)</f>
        <v>1.1100000000000001E-3</v>
      </c>
      <c r="E11" s="2">
        <f>1-D11</f>
        <v>0.99888999999999994</v>
      </c>
      <c r="F11" s="13">
        <f>Pricing_Model!W9</f>
        <v>1273.1079354377571</v>
      </c>
      <c r="G11" s="13">
        <f>Pricing_Model!U9</f>
        <v>25.46215870875514</v>
      </c>
      <c r="H11" s="13">
        <f>Pricing_Model!T9</f>
        <v>1000</v>
      </c>
      <c r="I11" s="13">
        <f>Pricing_Model!I9</f>
        <v>100000</v>
      </c>
      <c r="J11" s="13">
        <f>Pricing_Model!J9</f>
        <v>500</v>
      </c>
      <c r="K11" s="5">
        <f>Pricing_Model!K9</f>
        <v>0.06</v>
      </c>
      <c r="L11" s="17">
        <f>Pricing_Model!L9</f>
        <v>0.94339622641509424</v>
      </c>
      <c r="M11" s="18">
        <f>IF(B11&lt;=Assumptions!$B$5,Reserving_Model!L11*Reserving_Model!E11*Reserving_Model!M12+Reserving_Model!L11*Reserving_Model!D11,0)</f>
        <v>3.2774925502361107E-2</v>
      </c>
      <c r="N11" s="16">
        <f>IF(B11&lt;=Assumptions!$B$5, 1+N12*L11*E11,0)</f>
        <v>13.300786416723867</v>
      </c>
      <c r="O11" s="13">
        <f>N11*(F11-G11)</f>
        <v>16594.670000000006</v>
      </c>
      <c r="P11" s="13">
        <f>H11*N11</f>
        <v>13300.786416723866</v>
      </c>
      <c r="Q11" s="13">
        <f>(I11+J11)*M11</f>
        <v>3293.8800129872911</v>
      </c>
      <c r="R11" s="19">
        <f>Q11+P11-O11</f>
        <v>-3.57028884900501E-3</v>
      </c>
      <c r="S11" s="13">
        <f>R12</f>
        <v>151.11347478356947</v>
      </c>
      <c r="T11" s="13">
        <f>IF(B11&lt;=Assumptions!$B$5, ((F11-G11-H11)*(1+K11)-((I11+J11)*D11))/E11, 0)</f>
        <v>151.11726349522175</v>
      </c>
      <c r="V11" s="21">
        <f>ABS(T11-S11)</f>
        <v>3.7887116522767883E-3</v>
      </c>
      <c r="W11" s="14" t="str">
        <f>IF(B11&lt;=Assumptions!$B$5, IF(V11&lt;0.1,"OK","CHECK"),0)</f>
        <v>OK</v>
      </c>
    </row>
    <row r="12" spans="2:25" x14ac:dyDescent="0.3">
      <c r="B12">
        <f>Pricing_Model!C10</f>
        <v>2</v>
      </c>
      <c r="C12">
        <f>C11+1</f>
        <v>36</v>
      </c>
      <c r="D12" s="2">
        <f>VLOOKUP(C12,Mortality_Table!B8:D108,2,0)</f>
        <v>1.2329999999999999E-3</v>
      </c>
      <c r="E12" s="2">
        <f t="shared" ref="E12:E60" si="0">1-D12</f>
        <v>0.99876699999999996</v>
      </c>
      <c r="F12" s="13">
        <f>Pricing_Model!W10</f>
        <v>1273.1079354377571</v>
      </c>
      <c r="G12" s="13">
        <f>Pricing_Model!U10</f>
        <v>25.46215870875514</v>
      </c>
      <c r="H12" s="13">
        <f>Pricing_Model!T10</f>
        <v>1000</v>
      </c>
      <c r="I12" s="13">
        <f>Pricing_Model!I10</f>
        <v>100000</v>
      </c>
      <c r="J12" s="13">
        <f>Pricing_Model!J10</f>
        <v>500</v>
      </c>
      <c r="K12" s="5">
        <f>Pricing_Model!K10</f>
        <v>0.06</v>
      </c>
      <c r="L12" s="17">
        <f>Pricing_Model!L10</f>
        <v>0.94339622641509424</v>
      </c>
      <c r="M12" s="18">
        <f>IF(B12&lt;=Assumptions!$B$5,Reserving_Model!L12*Reserving_Model!E12*Reserving_Model!M13+Reserving_Model!L12*Reserving_Model!D12,0)</f>
        <v>3.3668793393169194E-2</v>
      </c>
      <c r="N12" s="16">
        <f>IF(B12&lt;=Assumptions!$B$5, 1+N13*L12*E12,0)</f>
        <v>13.053322790024227</v>
      </c>
      <c r="O12" s="13">
        <f t="shared" ref="O12:O60" si="1">N12*(F12-G12)</f>
        <v>16285.92305125416</v>
      </c>
      <c r="P12" s="13">
        <f t="shared" ref="P12:P60" si="2">H12*N12</f>
        <v>13053.322790024227</v>
      </c>
      <c r="Q12" s="13">
        <f t="shared" ref="Q12:Q60" si="3">(I12+J12)*M12</f>
        <v>3383.7137360135039</v>
      </c>
      <c r="R12" s="13">
        <f t="shared" ref="R12:R60" si="4">Q12+P12-O12</f>
        <v>151.11347478356947</v>
      </c>
      <c r="S12" s="13">
        <f t="shared" ref="S12:S60" si="5">R13</f>
        <v>299.13714270027594</v>
      </c>
      <c r="T12" s="13">
        <f>IF(B12&lt;=Assumptions!$B$5, ((T11+F12-G12-H12)*(1+K12)-((I12+J12)*D12))/E12, 0)</f>
        <v>299.14116369251002</v>
      </c>
      <c r="V12" s="21">
        <f t="shared" ref="V12:V60" si="6">ABS(T12-S12)</f>
        <v>4.0209922340750381E-3</v>
      </c>
      <c r="W12" s="14" t="str">
        <f>IF(B12&lt;=Assumptions!$B$5, IF(V12&lt;0.1,"OK","CHECK"),0)</f>
        <v>OK</v>
      </c>
    </row>
    <row r="13" spans="2:25" x14ac:dyDescent="0.3">
      <c r="B13">
        <f>Pricing_Model!C11</f>
        <v>3</v>
      </c>
      <c r="C13">
        <f t="shared" ref="C13:C60" si="7">C12+1</f>
        <v>37</v>
      </c>
      <c r="D13" s="2">
        <f>VLOOKUP(C13,Mortality_Table!B9:D109,2,0)</f>
        <v>1.305E-3</v>
      </c>
      <c r="E13" s="2">
        <f t="shared" si="0"/>
        <v>0.998695</v>
      </c>
      <c r="F13" s="13">
        <f>Pricing_Model!W11</f>
        <v>1273.1079354377571</v>
      </c>
      <c r="G13" s="13">
        <f>Pricing_Model!U11</f>
        <v>25.46215870875514</v>
      </c>
      <c r="H13" s="13">
        <f>Pricing_Model!T11</f>
        <v>1000</v>
      </c>
      <c r="I13" s="13">
        <f>Pricing_Model!I11</f>
        <v>100000</v>
      </c>
      <c r="J13" s="13">
        <f>Pricing_Model!J11</f>
        <v>500</v>
      </c>
      <c r="K13" s="5">
        <f>Pricing_Model!K11</f>
        <v>0.06</v>
      </c>
      <c r="L13" s="17">
        <f>Pricing_Model!L11</f>
        <v>0.94339622641509424</v>
      </c>
      <c r="M13" s="18">
        <f>IF(B13&lt;=Assumptions!$B$5,Reserving_Model!L13*Reserving_Model!E13*Reserving_Model!M14+Reserving_Model!L13*Reserving_Model!D13,0)</f>
        <v>3.4498457594973955E-2</v>
      </c>
      <c r="N13" s="16">
        <f>IF(B13&lt;=Assumptions!$B$5, 1+N14*L13*E13,0)</f>
        <v>12.79229505723125</v>
      </c>
      <c r="O13" s="13">
        <f t="shared" si="1"/>
        <v>15960.252902825856</v>
      </c>
      <c r="P13" s="13">
        <f t="shared" si="2"/>
        <v>12792.295057231249</v>
      </c>
      <c r="Q13" s="13">
        <f t="shared" si="3"/>
        <v>3467.0949882948826</v>
      </c>
      <c r="R13" s="13">
        <f t="shared" si="4"/>
        <v>299.13714270027594</v>
      </c>
      <c r="S13" s="13">
        <f t="shared" si="5"/>
        <v>449.02337009300936</v>
      </c>
      <c r="T13" s="13">
        <f>IF(B13&lt;=Assumptions!$B$5, ((T12+F13-G13-H13)*(1+K13)-((I13+J13)*D13))/E13, 0)</f>
        <v>449.02763791428077</v>
      </c>
      <c r="V13" s="21">
        <f t="shared" si="6"/>
        <v>4.267821271412231E-3</v>
      </c>
      <c r="W13" s="14" t="str">
        <f>IF(B13&lt;=Assumptions!$B$5, IF(V13&lt;0.1,"OK","CHECK"),0)</f>
        <v>OK</v>
      </c>
    </row>
    <row r="14" spans="2:25" x14ac:dyDescent="0.3">
      <c r="B14">
        <f>Pricing_Model!C12</f>
        <v>4</v>
      </c>
      <c r="C14">
        <f t="shared" si="7"/>
        <v>38</v>
      </c>
      <c r="D14" s="2">
        <f>VLOOKUP(C14,Mortality_Table!B10:D110,2,0)</f>
        <v>1.3699999999999999E-3</v>
      </c>
      <c r="E14" s="2">
        <f t="shared" si="0"/>
        <v>0.99863000000000002</v>
      </c>
      <c r="F14" s="13">
        <f>Pricing_Model!W12</f>
        <v>1273.1079354377571</v>
      </c>
      <c r="G14" s="13">
        <f>Pricing_Model!U12</f>
        <v>25.46215870875514</v>
      </c>
      <c r="H14" s="13">
        <f>Pricing_Model!T12</f>
        <v>1000</v>
      </c>
      <c r="I14" s="13">
        <f>Pricing_Model!I12</f>
        <v>100000</v>
      </c>
      <c r="J14" s="13">
        <f>Pricing_Model!J12</f>
        <v>500</v>
      </c>
      <c r="K14" s="5">
        <f>Pricing_Model!K12</f>
        <v>0.06</v>
      </c>
      <c r="L14" s="17">
        <f>Pricing_Model!L12</f>
        <v>0.94339622641509424</v>
      </c>
      <c r="M14" s="18">
        <f>IF(B14&lt;=Assumptions!$B$5,Reserving_Model!L14*Reserving_Model!E14*Reserving_Model!M15+Reserving_Model!L14*Reserving_Model!D14,0)</f>
        <v>3.5309443874929174E-2</v>
      </c>
      <c r="N14" s="16">
        <f>IF(B14&lt;=Assumptions!$B$5, 1+N15*L14*E14,0)</f>
        <v>12.516166357762005</v>
      </c>
      <c r="O14" s="13">
        <f t="shared" si="1"/>
        <v>15615.742097099379</v>
      </c>
      <c r="P14" s="13">
        <f t="shared" si="2"/>
        <v>12516.166357762006</v>
      </c>
      <c r="Q14" s="13">
        <f t="shared" si="3"/>
        <v>3548.5991094303818</v>
      </c>
      <c r="R14" s="13">
        <f t="shared" si="4"/>
        <v>449.02337009300936</v>
      </c>
      <c r="S14" s="13">
        <f t="shared" si="5"/>
        <v>601.60849927533673</v>
      </c>
      <c r="T14" s="13">
        <f>IF(B14&lt;=Assumptions!$B$5, ((T13+F14-G14-H14)*(1+K14)-((I14+J14)*D14))/E14, 0)</f>
        <v>601.61302937211951</v>
      </c>
      <c r="V14" s="21">
        <f t="shared" si="6"/>
        <v>4.5300967827870409E-3</v>
      </c>
      <c r="W14" s="14" t="str">
        <f>IF(B14&lt;=Assumptions!$B$5, IF(V14&lt;0.1,"OK","CHECK"),0)</f>
        <v>OK</v>
      </c>
    </row>
    <row r="15" spans="2:25" x14ac:dyDescent="0.3">
      <c r="B15">
        <f>Pricing_Model!C13</f>
        <v>5</v>
      </c>
      <c r="C15">
        <f t="shared" si="7"/>
        <v>39</v>
      </c>
      <c r="D15" s="2">
        <f>VLOOKUP(C15,Mortality_Table!B11:D111,2,0)</f>
        <v>1.5169999999999999E-3</v>
      </c>
      <c r="E15" s="2">
        <f t="shared" si="0"/>
        <v>0.99848300000000001</v>
      </c>
      <c r="F15" s="13">
        <f>Pricing_Model!W13</f>
        <v>1273.1079354377571</v>
      </c>
      <c r="G15" s="13">
        <f>Pricing_Model!U13</f>
        <v>25.46215870875514</v>
      </c>
      <c r="H15" s="13">
        <f>Pricing_Model!T13</f>
        <v>1000</v>
      </c>
      <c r="I15" s="13">
        <f>Pricing_Model!I13</f>
        <v>100000</v>
      </c>
      <c r="J15" s="13">
        <f>Pricing_Model!J13</f>
        <v>500</v>
      </c>
      <c r="K15" s="5">
        <f>Pricing_Model!K13</f>
        <v>0.06</v>
      </c>
      <c r="L15" s="17">
        <f>Pricing_Model!L13</f>
        <v>0.94339622641509424</v>
      </c>
      <c r="M15" s="18">
        <f>IF(B15&lt;=Assumptions!$B$5,Reserving_Model!L15*Reserving_Model!E15*Reserving_Model!M16+Reserving_Model!L15*Reserving_Model!D15,0)</f>
        <v>3.6107477751945088E-2</v>
      </c>
      <c r="N15" s="16">
        <f>IF(B15&lt;=Assumptions!$B$5, 1+N16*L15*E15,0)</f>
        <v>12.223883059018581</v>
      </c>
      <c r="O15" s="13">
        <f t="shared" si="1"/>
        <v>15251.076073813725</v>
      </c>
      <c r="P15" s="13">
        <f t="shared" si="2"/>
        <v>12223.883059018581</v>
      </c>
      <c r="Q15" s="13">
        <f t="shared" si="3"/>
        <v>3628.8015140704815</v>
      </c>
      <c r="R15" s="13">
        <f t="shared" si="4"/>
        <v>601.60849927533673</v>
      </c>
      <c r="S15" s="13">
        <f t="shared" si="5"/>
        <v>748.88709428663242</v>
      </c>
      <c r="T15" s="13">
        <f>IF(B15&lt;=Assumptions!$B$5, ((T14+F15-G15-H15)*(1+K15)-((I15+J15)*D15))/E15, 0)</f>
        <v>748.89190348477507</v>
      </c>
      <c r="V15" s="21">
        <f t="shared" si="6"/>
        <v>4.8091981426523489E-3</v>
      </c>
      <c r="W15" s="14" t="str">
        <f>IF(B15&lt;=Assumptions!$B$5, IF(V15&lt;0.1,"OK","CHECK"),0)</f>
        <v>OK</v>
      </c>
    </row>
    <row r="16" spans="2:25" x14ac:dyDescent="0.3">
      <c r="B16">
        <f>Pricing_Model!C14</f>
        <v>6</v>
      </c>
      <c r="C16">
        <f t="shared" si="7"/>
        <v>40</v>
      </c>
      <c r="D16" s="2">
        <f>VLOOKUP(C16,Mortality_Table!B12:D112,2,0)</f>
        <v>1.681E-3</v>
      </c>
      <c r="E16" s="2">
        <f t="shared" si="0"/>
        <v>0.99831899999999996</v>
      </c>
      <c r="F16" s="13">
        <f>Pricing_Model!W14</f>
        <v>1273.1079354377571</v>
      </c>
      <c r="G16" s="13">
        <f>Pricing_Model!U14</f>
        <v>25.46215870875514</v>
      </c>
      <c r="H16" s="13">
        <f>Pricing_Model!T14</f>
        <v>1000</v>
      </c>
      <c r="I16" s="13">
        <f>Pricing_Model!I14</f>
        <v>100000</v>
      </c>
      <c r="J16" s="13">
        <f>Pricing_Model!J14</f>
        <v>500</v>
      </c>
      <c r="K16" s="5">
        <f>Pricing_Model!K14</f>
        <v>0.06</v>
      </c>
      <c r="L16" s="17">
        <f>Pricing_Model!L14</f>
        <v>0.94339622641509424</v>
      </c>
      <c r="M16" s="18">
        <f>IF(B16&lt;=Assumptions!$B$5,Reserving_Model!L16*Reserving_Model!E16*Reserving_Model!M17+Reserving_Model!L16*Reserving_Model!D16,0)</f>
        <v>3.6812771391262343E-2</v>
      </c>
      <c r="N16" s="16">
        <f>IF(B16&lt;=Assumptions!$B$5, 1+N17*L16*E16,0)</f>
        <v>11.91539169175609</v>
      </c>
      <c r="O16" s="13">
        <f t="shared" si="1"/>
        <v>14866.188122291323</v>
      </c>
      <c r="P16" s="13">
        <f t="shared" si="2"/>
        <v>11915.391691756091</v>
      </c>
      <c r="Q16" s="13">
        <f t="shared" si="3"/>
        <v>3699.6835248218654</v>
      </c>
      <c r="R16" s="13">
        <f t="shared" si="4"/>
        <v>748.88709428663242</v>
      </c>
      <c r="S16" s="13">
        <f t="shared" si="5"/>
        <v>888.87854811595571</v>
      </c>
      <c r="T16" s="13">
        <f>IF(B16&lt;=Assumptions!$B$5, ((T15+F16-G16-H16)*(1+K16)-((I16+J16)*D16))/E16, 0)</f>
        <v>888.88365444973374</v>
      </c>
      <c r="V16" s="21">
        <f t="shared" si="6"/>
        <v>5.1063337780306028E-3</v>
      </c>
      <c r="W16" s="14" t="str">
        <f>IF(B16&lt;=Assumptions!$B$5, IF(V16&lt;0.1,"OK","CHECK"),0)</f>
        <v>OK</v>
      </c>
    </row>
    <row r="17" spans="2:23" x14ac:dyDescent="0.3">
      <c r="B17">
        <f>Pricing_Model!C15</f>
        <v>7</v>
      </c>
      <c r="C17">
        <f t="shared" si="7"/>
        <v>41</v>
      </c>
      <c r="D17" s="2">
        <f>VLOOKUP(C17,Mortality_Table!B13:D113,2,0)</f>
        <v>1.8079999999999999E-3</v>
      </c>
      <c r="E17" s="2">
        <f t="shared" si="0"/>
        <v>0.99819199999999997</v>
      </c>
      <c r="F17" s="13">
        <f>Pricing_Model!W15</f>
        <v>1273.1079354377571</v>
      </c>
      <c r="G17" s="13">
        <f>Pricing_Model!U15</f>
        <v>25.46215870875514</v>
      </c>
      <c r="H17" s="13">
        <f>Pricing_Model!T15</f>
        <v>1000</v>
      </c>
      <c r="I17" s="13">
        <f>Pricing_Model!I15</f>
        <v>100000</v>
      </c>
      <c r="J17" s="13">
        <f>Pricing_Model!J15</f>
        <v>500</v>
      </c>
      <c r="K17" s="5">
        <f>Pricing_Model!K15</f>
        <v>0.06</v>
      </c>
      <c r="L17" s="17">
        <f>Pricing_Model!L15</f>
        <v>0.94339622641509424</v>
      </c>
      <c r="M17" s="18">
        <f>IF(B17&lt;=Assumptions!$B$5,Reserving_Model!L17*Reserving_Model!E17*Reserving_Model!M18+Reserving_Model!L17*Reserving_Model!D17,0)</f>
        <v>3.7403412811674516E-2</v>
      </c>
      <c r="N17" s="16">
        <f>IF(B17&lt;=Assumptions!$B$5, 1+N18*L17*E17,0)</f>
        <v>11.589797643099507</v>
      </c>
      <c r="O17" s="13">
        <f t="shared" si="1"/>
        <v>14459.96208255684</v>
      </c>
      <c r="P17" s="13">
        <f t="shared" si="2"/>
        <v>11589.797643099508</v>
      </c>
      <c r="Q17" s="13">
        <f t="shared" si="3"/>
        <v>3759.0429875732889</v>
      </c>
      <c r="R17" s="13">
        <f t="shared" si="4"/>
        <v>888.87854811595571</v>
      </c>
      <c r="S17" s="13">
        <f t="shared" si="5"/>
        <v>1024.8647397851873</v>
      </c>
      <c r="T17" s="13">
        <f>IF(B17&lt;=Assumptions!$B$5, ((T16+F17-G17-H17)*(1+K17)-((I17+J17)*D17))/E17, 0)</f>
        <v>1024.8701623029035</v>
      </c>
      <c r="V17" s="21">
        <f t="shared" si="6"/>
        <v>5.4225177161697502E-3</v>
      </c>
      <c r="W17" s="14" t="str">
        <f>IF(B17&lt;=Assumptions!$B$5, IF(V17&lt;0.1,"OK","CHECK"),0)</f>
        <v>OK</v>
      </c>
    </row>
    <row r="18" spans="2:23" x14ac:dyDescent="0.3">
      <c r="B18">
        <f>Pricing_Model!C16</f>
        <v>8</v>
      </c>
      <c r="C18">
        <f t="shared" si="7"/>
        <v>42</v>
      </c>
      <c r="D18" s="2">
        <f>VLOOKUP(C18,Mortality_Table!B14:D114,2,0)</f>
        <v>1.89E-3</v>
      </c>
      <c r="E18" s="2">
        <f t="shared" si="0"/>
        <v>0.99811000000000005</v>
      </c>
      <c r="F18" s="13">
        <f>Pricing_Model!W16</f>
        <v>1273.1079354377571</v>
      </c>
      <c r="G18" s="13">
        <f>Pricing_Model!U16</f>
        <v>25.46215870875514</v>
      </c>
      <c r="H18" s="13">
        <f>Pricing_Model!T16</f>
        <v>1000</v>
      </c>
      <c r="I18" s="13">
        <f>Pricing_Model!I16</f>
        <v>100000</v>
      </c>
      <c r="J18" s="13">
        <f>Pricing_Model!J16</f>
        <v>500</v>
      </c>
      <c r="K18" s="5">
        <f>Pricing_Model!K16</f>
        <v>0.06</v>
      </c>
      <c r="L18" s="17">
        <f>Pricing_Model!L16</f>
        <v>0.94339622641509424</v>
      </c>
      <c r="M18" s="18">
        <f>IF(B18&lt;=Assumptions!$B$5,Reserving_Model!L18*Reserving_Model!E18*Reserving_Model!M19+Reserving_Model!L18*Reserving_Model!D18,0)</f>
        <v>3.7908155525565215E-2</v>
      </c>
      <c r="N18" s="16">
        <f>IF(B18&lt;=Assumptions!$B$5, 1+N19*L18*E18,0)</f>
        <v>11.245517397139507</v>
      </c>
      <c r="O18" s="13">
        <f t="shared" si="1"/>
        <v>14030.422287673624</v>
      </c>
      <c r="P18" s="13">
        <f t="shared" si="2"/>
        <v>11245.517397139507</v>
      </c>
      <c r="Q18" s="13">
        <f t="shared" si="3"/>
        <v>3809.7696303193043</v>
      </c>
      <c r="R18" s="13">
        <f t="shared" si="4"/>
        <v>1024.8647397851873</v>
      </c>
      <c r="S18" s="13">
        <f t="shared" si="5"/>
        <v>1161.1106466271667</v>
      </c>
      <c r="T18" s="13">
        <f>IF(B18&lt;=Assumptions!$B$5, ((T17+F18-G18-H18)*(1+K18)-((I18+J18)*D18))/E18, 0)</f>
        <v>1161.1164053799887</v>
      </c>
      <c r="V18" s="21">
        <f t="shared" si="6"/>
        <v>5.7587528219755768E-3</v>
      </c>
      <c r="W18" s="14" t="str">
        <f>IF(B18&lt;=Assumptions!$B$5, IF(V18&lt;0.1,"OK","CHECK"),0)</f>
        <v>OK</v>
      </c>
    </row>
    <row r="19" spans="2:23" x14ac:dyDescent="0.3">
      <c r="B19">
        <f>Pricing_Model!C17</f>
        <v>9</v>
      </c>
      <c r="C19">
        <f t="shared" si="7"/>
        <v>43</v>
      </c>
      <c r="D19" s="2">
        <f>VLOOKUP(C19,Mortality_Table!B15:D115,2,0)</f>
        <v>2.0739999999999999E-3</v>
      </c>
      <c r="E19" s="2">
        <f t="shared" si="0"/>
        <v>0.99792599999999998</v>
      </c>
      <c r="F19" s="13">
        <f>Pricing_Model!W17</f>
        <v>1273.1079354377571</v>
      </c>
      <c r="G19" s="13">
        <f>Pricing_Model!U17</f>
        <v>25.46215870875514</v>
      </c>
      <c r="H19" s="13">
        <f>Pricing_Model!T17</f>
        <v>1000</v>
      </c>
      <c r="I19" s="13">
        <f>Pricing_Model!I17</f>
        <v>100000</v>
      </c>
      <c r="J19" s="13">
        <f>Pricing_Model!J17</f>
        <v>500</v>
      </c>
      <c r="K19" s="5">
        <f>Pricing_Model!K17</f>
        <v>0.06</v>
      </c>
      <c r="L19" s="17">
        <f>Pricing_Model!L17</f>
        <v>0.94339622641509424</v>
      </c>
      <c r="M19" s="18">
        <f>IF(B19&lt;=Assumptions!$B$5,Reserving_Model!L19*Reserving_Model!E19*Reserving_Model!M20+Reserving_Model!L19*Reserving_Model!D19,0)</f>
        <v>3.8365155000049223E-2</v>
      </c>
      <c r="N19" s="16">
        <f>IF(B19&lt;=Assumptions!$B$5, 1+N20*L19*E19,0)</f>
        <v>10.88081317787406</v>
      </c>
      <c r="O19" s="13">
        <f t="shared" si="1"/>
        <v>13575.400608751841</v>
      </c>
      <c r="P19" s="13">
        <f t="shared" si="2"/>
        <v>10880.813177874061</v>
      </c>
      <c r="Q19" s="13">
        <f t="shared" si="3"/>
        <v>3855.6980775049469</v>
      </c>
      <c r="R19" s="13">
        <f t="shared" si="4"/>
        <v>1161.1106466271667</v>
      </c>
      <c r="S19" s="13">
        <f t="shared" si="5"/>
        <v>1287.5151151062691</v>
      </c>
      <c r="T19" s="13">
        <f>IF(B19&lt;=Assumptions!$B$5, ((T18+F19-G19-H19)*(1+K19)-((I19+J19)*D19))/E19, 0)</f>
        <v>1287.5212320708454</v>
      </c>
      <c r="V19" s="21">
        <f t="shared" si="6"/>
        <v>6.1169645762220171E-3</v>
      </c>
      <c r="W19" s="14" t="str">
        <f>IF(B19&lt;=Assumptions!$B$5, IF(V19&lt;0.1,"OK","CHECK"),0)</f>
        <v>OK</v>
      </c>
    </row>
    <row r="20" spans="2:23" x14ac:dyDescent="0.3">
      <c r="B20">
        <f>Pricing_Model!C18</f>
        <v>10</v>
      </c>
      <c r="C20">
        <f t="shared" si="7"/>
        <v>44</v>
      </c>
      <c r="D20" s="2">
        <f>VLOOKUP(C20,Mortality_Table!B16:D116,2,0)</f>
        <v>2.1640000000000001E-3</v>
      </c>
      <c r="E20" s="2">
        <f t="shared" si="0"/>
        <v>0.99783599999999995</v>
      </c>
      <c r="F20" s="13">
        <f>Pricing_Model!W18</f>
        <v>1273.1079354377571</v>
      </c>
      <c r="G20" s="13">
        <f>Pricing_Model!U18</f>
        <v>25.46215870875514</v>
      </c>
      <c r="H20" s="13">
        <f>Pricing_Model!T18</f>
        <v>1000</v>
      </c>
      <c r="I20" s="13">
        <f>Pricing_Model!I18</f>
        <v>100000</v>
      </c>
      <c r="J20" s="13">
        <f>Pricing_Model!J18</f>
        <v>500</v>
      </c>
      <c r="K20" s="5">
        <f>Pricing_Model!K18</f>
        <v>0.06</v>
      </c>
      <c r="L20" s="17">
        <f>Pricing_Model!L18</f>
        <v>0.94339622641509424</v>
      </c>
      <c r="M20" s="18">
        <f>IF(B20&lt;=Assumptions!$B$5,Reserving_Model!L20*Reserving_Model!E20*Reserving_Model!M21+Reserving_Model!L20*Reserving_Model!D20,0)</f>
        <v>3.8673272667564713E-2</v>
      </c>
      <c r="N20" s="16">
        <f>IF(B20&lt;=Assumptions!$B$5, 1+N21*L20*E20,0)</f>
        <v>10.495429489307329</v>
      </c>
      <c r="O20" s="13">
        <f t="shared" si="1"/>
        <v>13094.578277291313</v>
      </c>
      <c r="P20" s="13">
        <f t="shared" si="2"/>
        <v>10495.429489307329</v>
      </c>
      <c r="Q20" s="13">
        <f t="shared" si="3"/>
        <v>3886.6639030902538</v>
      </c>
      <c r="R20" s="13">
        <f t="shared" si="4"/>
        <v>1287.5151151062691</v>
      </c>
      <c r="S20" s="13">
        <f t="shared" si="5"/>
        <v>1412.8459439681337</v>
      </c>
      <c r="T20" s="13">
        <f>IF(B20&lt;=Assumptions!$B$5, ((T19+F20-G20-H20)*(1+K20)-((I20+J20)*D20))/E20, 0)</f>
        <v>1412.8524420123529</v>
      </c>
      <c r="V20" s="21">
        <f t="shared" si="6"/>
        <v>6.4980442191426846E-3</v>
      </c>
      <c r="W20" s="14" t="str">
        <f>IF(B20&lt;=Assumptions!$B$5, IF(V20&lt;0.1,"OK","CHECK"),0)</f>
        <v>OK</v>
      </c>
    </row>
    <row r="21" spans="2:23" x14ac:dyDescent="0.3">
      <c r="B21">
        <f>Pricing_Model!C19</f>
        <v>11</v>
      </c>
      <c r="C21">
        <f t="shared" si="7"/>
        <v>45</v>
      </c>
      <c r="D21" s="2">
        <f>VLOOKUP(C21,Mortality_Table!B17:D117,2,0)</f>
        <v>2.4329999999999998E-3</v>
      </c>
      <c r="E21" s="2">
        <f t="shared" si="0"/>
        <v>0.99756699999999998</v>
      </c>
      <c r="F21" s="13">
        <f>Pricing_Model!W19</f>
        <v>1273.1079354377571</v>
      </c>
      <c r="G21" s="13">
        <f>Pricing_Model!U19</f>
        <v>25.46215870875514</v>
      </c>
      <c r="H21" s="13">
        <f>Pricing_Model!T19</f>
        <v>1000</v>
      </c>
      <c r="I21" s="13">
        <f>Pricing_Model!I19</f>
        <v>100000</v>
      </c>
      <c r="J21" s="13">
        <f>Pricing_Model!J19</f>
        <v>500</v>
      </c>
      <c r="K21" s="5">
        <f>Pricing_Model!K19</f>
        <v>0.06</v>
      </c>
      <c r="L21" s="17">
        <f>Pricing_Model!L19</f>
        <v>0.94339622641509424</v>
      </c>
      <c r="M21" s="18">
        <f>IF(B21&lt;=Assumptions!$B$5,Reserving_Model!L21*Reserving_Model!E21*Reserving_Model!M22+Reserving_Model!L21*Reserving_Model!D21,0)</f>
        <v>3.8913878661041096E-2</v>
      </c>
      <c r="N21" s="16">
        <f>IF(B21&lt;=Assumptions!$B$5, 1+N22*L21*E21,0)</f>
        <v>10.086983490940163</v>
      </c>
      <c r="O21" s="13">
        <f t="shared" si="1"/>
        <v>12584.98235240666</v>
      </c>
      <c r="P21" s="13">
        <f t="shared" si="2"/>
        <v>10086.983490940163</v>
      </c>
      <c r="Q21" s="13">
        <f t="shared" si="3"/>
        <v>3910.84480543463</v>
      </c>
      <c r="R21" s="13">
        <f t="shared" si="4"/>
        <v>1412.8459439681337</v>
      </c>
      <c r="S21" s="13">
        <f t="shared" si="5"/>
        <v>1519.3011837189515</v>
      </c>
      <c r="T21" s="13">
        <f>IF(B21&lt;=Assumptions!$B$5, ((T20+F21-G21-H21)*(1+K21)-((I21+J21)*D21))/E21, 0)</f>
        <v>1519.3080884450235</v>
      </c>
      <c r="V21" s="21">
        <f t="shared" si="6"/>
        <v>6.9047260719798942E-3</v>
      </c>
      <c r="W21" s="14" t="str">
        <f>IF(B21&lt;=Assumptions!$B$5, IF(V21&lt;0.1,"OK","CHECK"),0)</f>
        <v>OK</v>
      </c>
    </row>
    <row r="22" spans="2:23" x14ac:dyDescent="0.3">
      <c r="B22">
        <f>Pricing_Model!C20</f>
        <v>12</v>
      </c>
      <c r="C22">
        <f t="shared" si="7"/>
        <v>46</v>
      </c>
      <c r="D22" s="2">
        <f>VLOOKUP(C22,Mortality_Table!B18:D118,2,0)</f>
        <v>2.6150000000000001E-3</v>
      </c>
      <c r="E22" s="2">
        <f t="shared" si="0"/>
        <v>0.99738499999999997</v>
      </c>
      <c r="F22" s="13">
        <f>Pricing_Model!W20</f>
        <v>1273.1079354377571</v>
      </c>
      <c r="G22" s="13">
        <f>Pricing_Model!U20</f>
        <v>25.46215870875514</v>
      </c>
      <c r="H22" s="13">
        <f>Pricing_Model!T20</f>
        <v>1000</v>
      </c>
      <c r="I22" s="13">
        <f>Pricing_Model!I20</f>
        <v>100000</v>
      </c>
      <c r="J22" s="13">
        <f>Pricing_Model!J20</f>
        <v>500</v>
      </c>
      <c r="K22" s="5">
        <f>Pricing_Model!K20</f>
        <v>0.06</v>
      </c>
      <c r="L22" s="17">
        <f>Pricing_Model!L20</f>
        <v>0.94339622641509424</v>
      </c>
      <c r="M22" s="18">
        <f>IF(B22&lt;=Assumptions!$B$5,Reserving_Model!L22*Reserving_Model!E22*Reserving_Model!M23+Reserving_Model!L22*Reserving_Model!D22,0)</f>
        <v>3.8910380336061201E-2</v>
      </c>
      <c r="N22" s="16">
        <f>IF(B22&lt;=Assumptions!$B$5, 1+N23*L22*E22,0)</f>
        <v>9.6556948058592305</v>
      </c>
      <c r="O22" s="13">
        <f t="shared" si="1"/>
        <v>12046.886845914429</v>
      </c>
      <c r="P22" s="13">
        <f t="shared" si="2"/>
        <v>9655.6948058592297</v>
      </c>
      <c r="Q22" s="13">
        <f t="shared" si="3"/>
        <v>3910.4932237741509</v>
      </c>
      <c r="R22" s="13">
        <f t="shared" si="4"/>
        <v>1519.3011837189515</v>
      </c>
      <c r="S22" s="13">
        <f t="shared" si="5"/>
        <v>1614.3778762211514</v>
      </c>
      <c r="T22" s="13">
        <f>IF(B22&lt;=Assumptions!$B$5, ((T21+F22-G22-H22)*(1+K22)-((I22+J22)*D22))/E22, 0)</f>
        <v>1614.3852144201765</v>
      </c>
      <c r="V22" s="21">
        <f t="shared" si="6"/>
        <v>7.338199025070935E-3</v>
      </c>
      <c r="W22" s="14" t="str">
        <f>IF(B22&lt;=Assumptions!$B$5, IF(V22&lt;0.1,"OK","CHECK"),0)</f>
        <v>OK</v>
      </c>
    </row>
    <row r="23" spans="2:23" x14ac:dyDescent="0.3">
      <c r="B23">
        <f>Pricing_Model!C21</f>
        <v>13</v>
      </c>
      <c r="C23">
        <f t="shared" si="7"/>
        <v>47</v>
      </c>
      <c r="D23" s="2">
        <f>VLOOKUP(C23,Mortality_Table!B19:D119,2,0)</f>
        <v>2.8389999999999999E-3</v>
      </c>
      <c r="E23" s="2">
        <f t="shared" si="0"/>
        <v>0.99716099999999996</v>
      </c>
      <c r="F23" s="13">
        <f>Pricing_Model!W21</f>
        <v>1273.1079354377571</v>
      </c>
      <c r="G23" s="13">
        <f>Pricing_Model!U21</f>
        <v>25.46215870875514</v>
      </c>
      <c r="H23" s="13">
        <f>Pricing_Model!T21</f>
        <v>1000</v>
      </c>
      <c r="I23" s="13">
        <f>Pricing_Model!I21</f>
        <v>100000</v>
      </c>
      <c r="J23" s="13">
        <f>Pricing_Model!J21</f>
        <v>500</v>
      </c>
      <c r="K23" s="5">
        <f>Pricing_Model!K21</f>
        <v>0.06</v>
      </c>
      <c r="L23" s="17">
        <f>Pricing_Model!L21</f>
        <v>0.94339622641509424</v>
      </c>
      <c r="M23" s="18">
        <f>IF(B23&lt;=Assumptions!$B$5,Reserving_Model!L23*Reserving_Model!E23*Reserving_Model!M24+Reserving_Model!L23*Reserving_Model!D23,0)</f>
        <v>3.8731285467722983E-2</v>
      </c>
      <c r="N23" s="16">
        <f>IF(B23&lt;=Assumptions!$B$5, 1+N24*L23*E23,0)</f>
        <v>9.1990921201048597</v>
      </c>
      <c r="O23" s="13">
        <f t="shared" si="1"/>
        <v>11477.208433389869</v>
      </c>
      <c r="P23" s="13">
        <f t="shared" si="2"/>
        <v>9199.0921201048604</v>
      </c>
      <c r="Q23" s="13">
        <f t="shared" si="3"/>
        <v>3892.4941895061597</v>
      </c>
      <c r="R23" s="13">
        <f t="shared" si="4"/>
        <v>1614.3778762211514</v>
      </c>
      <c r="S23" s="13">
        <f t="shared" si="5"/>
        <v>1693.2326596479033</v>
      </c>
      <c r="T23" s="13">
        <f>IF(B23&lt;=Assumptions!$B$5, ((T22+F23-G23-H23)*(1+K23)-((I23+J23)*D23))/E23, 0)</f>
        <v>1693.2404602848783</v>
      </c>
      <c r="V23" s="21">
        <f t="shared" si="6"/>
        <v>7.800636974934605E-3</v>
      </c>
      <c r="W23" s="14" t="str">
        <f>IF(B23&lt;=Assumptions!$B$5, IF(V23&lt;0.1,"OK","CHECK"),0)</f>
        <v>OK</v>
      </c>
    </row>
    <row r="24" spans="2:23" x14ac:dyDescent="0.3">
      <c r="B24">
        <f>Pricing_Model!C22</f>
        <v>14</v>
      </c>
      <c r="C24">
        <f t="shared" si="7"/>
        <v>48</v>
      </c>
      <c r="D24" s="2">
        <f>VLOOKUP(C24,Mortality_Table!B20:D120,2,0)</f>
        <v>3.0569999999999998E-3</v>
      </c>
      <c r="E24" s="2">
        <f t="shared" si="0"/>
        <v>0.99694300000000002</v>
      </c>
      <c r="F24" s="13">
        <f>Pricing_Model!W22</f>
        <v>1273.1079354377571</v>
      </c>
      <c r="G24" s="13">
        <f>Pricing_Model!U22</f>
        <v>25.46215870875514</v>
      </c>
      <c r="H24" s="13">
        <f>Pricing_Model!T22</f>
        <v>1000</v>
      </c>
      <c r="I24" s="13">
        <f>Pricing_Model!I22</f>
        <v>100000</v>
      </c>
      <c r="J24" s="13">
        <f>Pricing_Model!J22</f>
        <v>500</v>
      </c>
      <c r="K24" s="5">
        <f>Pricing_Model!K22</f>
        <v>0.06</v>
      </c>
      <c r="L24" s="17">
        <f>Pricing_Model!L22</f>
        <v>0.94339622641509424</v>
      </c>
      <c r="M24" s="18">
        <f>IF(B24&lt;=Assumptions!$B$5,Reserving_Model!L24*Reserving_Model!E24*Reserving_Model!M25+Reserving_Model!L24*Reserving_Model!D24,0)</f>
        <v>3.8324967177603586E-2</v>
      </c>
      <c r="N24" s="16">
        <f>IF(B24&lt;=Assumptions!$B$5, 1+N25*L24*E24,0)</f>
        <v>8.7157817517042417</v>
      </c>
      <c r="O24" s="13">
        <f t="shared" si="1"/>
        <v>10874.2082934055</v>
      </c>
      <c r="P24" s="13">
        <f t="shared" si="2"/>
        <v>8715.7817517042422</v>
      </c>
      <c r="Q24" s="13">
        <f t="shared" si="3"/>
        <v>3851.6592013491604</v>
      </c>
      <c r="R24" s="13">
        <f t="shared" si="4"/>
        <v>1693.2326596479033</v>
      </c>
      <c r="S24" s="13">
        <f t="shared" si="5"/>
        <v>1755.4691116337835</v>
      </c>
      <c r="T24" s="13">
        <f>IF(B24&lt;=Assumptions!$B$5, ((T23+F24-G24-H24)*(1+K24)-((I24+J24)*D24))/E24, 0)</f>
        <v>1755.4774056638275</v>
      </c>
      <c r="V24" s="21">
        <f t="shared" si="6"/>
        <v>8.2940300439986459E-3</v>
      </c>
      <c r="W24" s="14" t="str">
        <f>IF(B24&lt;=Assumptions!$B$5, IF(V24&lt;0.1,"OK","CHECK"),0)</f>
        <v>OK</v>
      </c>
    </row>
    <row r="25" spans="2:23" x14ac:dyDescent="0.3">
      <c r="B25">
        <f>Pricing_Model!C23</f>
        <v>15</v>
      </c>
      <c r="C25">
        <f t="shared" si="7"/>
        <v>49</v>
      </c>
      <c r="D25" s="2">
        <f>VLOOKUP(C25,Mortality_Table!B21:D121,2,0)</f>
        <v>3.3869999999999998E-3</v>
      </c>
      <c r="E25" s="2">
        <f t="shared" si="0"/>
        <v>0.99661299999999997</v>
      </c>
      <c r="F25" s="13">
        <f>Pricing_Model!W23</f>
        <v>1273.1079354377571</v>
      </c>
      <c r="G25" s="13">
        <f>Pricing_Model!U23</f>
        <v>25.46215870875514</v>
      </c>
      <c r="H25" s="13">
        <f>Pricing_Model!T23</f>
        <v>1000</v>
      </c>
      <c r="I25" s="13">
        <f>Pricing_Model!I23</f>
        <v>100000</v>
      </c>
      <c r="J25" s="13">
        <f>Pricing_Model!J23</f>
        <v>500</v>
      </c>
      <c r="K25" s="5">
        <f>Pricing_Model!K23</f>
        <v>0.06</v>
      </c>
      <c r="L25" s="17">
        <f>Pricing_Model!L23</f>
        <v>0.94339622641509424</v>
      </c>
      <c r="M25" s="18">
        <f>IF(B25&lt;=Assumptions!$B$5,Reserving_Model!L25*Reserving_Model!E25*Reserving_Model!M26+Reserving_Model!L25*Reserving_Model!D25,0)</f>
        <v>3.7682661103252447E-2</v>
      </c>
      <c r="N25" s="16">
        <f>IF(B25&lt;=Assumptions!$B$5, 1+N26*L25*E25,0)</f>
        <v>8.2038076969360318</v>
      </c>
      <c r="O25" s="13">
        <f t="shared" si="1"/>
        <v>10235.446026179119</v>
      </c>
      <c r="P25" s="13">
        <f t="shared" si="2"/>
        <v>8203.8076969360318</v>
      </c>
      <c r="Q25" s="13">
        <f t="shared" si="3"/>
        <v>3787.1074408768709</v>
      </c>
      <c r="R25" s="13">
        <f t="shared" si="4"/>
        <v>1755.4691116337835</v>
      </c>
      <c r="S25" s="13">
        <f t="shared" si="5"/>
        <v>1788.9675146366262</v>
      </c>
      <c r="T25" s="13">
        <f>IF(B25&lt;=Assumptions!$B$5, ((T24+F25-G25-H25)*(1+K25)-((I25+J25)*D25))/E25, 0)</f>
        <v>1788.9763361870653</v>
      </c>
      <c r="V25" s="21">
        <f t="shared" si="6"/>
        <v>8.8215504390518618E-3</v>
      </c>
      <c r="W25" s="14" t="str">
        <f>IF(B25&lt;=Assumptions!$B$5, IF(V25&lt;0.1,"OK","CHECK"),0)</f>
        <v>OK</v>
      </c>
    </row>
    <row r="26" spans="2:23" x14ac:dyDescent="0.3">
      <c r="B26">
        <f>Pricing_Model!C24</f>
        <v>16</v>
      </c>
      <c r="C26">
        <f t="shared" si="7"/>
        <v>50</v>
      </c>
      <c r="D26" s="2">
        <f>VLOOKUP(C26,Mortality_Table!B22:D122,2,0)</f>
        <v>3.7109999999999999E-3</v>
      </c>
      <c r="E26" s="2">
        <f t="shared" si="0"/>
        <v>0.99628899999999998</v>
      </c>
      <c r="F26" s="13">
        <f>Pricing_Model!W24</f>
        <v>1273.1079354377571</v>
      </c>
      <c r="G26" s="13">
        <f>Pricing_Model!U24</f>
        <v>25.46215870875514</v>
      </c>
      <c r="H26" s="13">
        <f>Pricing_Model!T24</f>
        <v>1000</v>
      </c>
      <c r="I26" s="13">
        <f>Pricing_Model!I24</f>
        <v>100000</v>
      </c>
      <c r="J26" s="13">
        <f>Pricing_Model!J24</f>
        <v>500</v>
      </c>
      <c r="K26" s="5">
        <f>Pricing_Model!K24</f>
        <v>0.06</v>
      </c>
      <c r="L26" s="17">
        <f>Pricing_Model!L24</f>
        <v>0.94339622641509424</v>
      </c>
      <c r="M26" s="18">
        <f>IF(B26&lt;=Assumptions!$B$5,Reserving_Model!L26*Reserving_Model!E26*Reserving_Model!M27+Reserving_Model!L26*Reserving_Model!D26,0)</f>
        <v>3.6680858838333039E-2</v>
      </c>
      <c r="N26" s="16">
        <f>IF(B26&lt;=Assumptions!$B$5, 1+N27*L26*E26,0)</f>
        <v>7.6619873097703879</v>
      </c>
      <c r="O26" s="13">
        <f t="shared" si="1"/>
        <v>9559.4461083862316</v>
      </c>
      <c r="P26" s="13">
        <f t="shared" si="2"/>
        <v>7661.9873097703876</v>
      </c>
      <c r="Q26" s="13">
        <f t="shared" si="3"/>
        <v>3686.4263132524702</v>
      </c>
      <c r="R26" s="13">
        <f t="shared" si="4"/>
        <v>1788.9675146366262</v>
      </c>
      <c r="S26" s="13">
        <f t="shared" si="5"/>
        <v>1792.5065807688006</v>
      </c>
      <c r="T26" s="13">
        <f>IF(B26&lt;=Assumptions!$B$5, ((T25+F26-G26-H26)*(1+K26)-((I26+J26)*D26))/E26, 0)</f>
        <v>1792.5159664424998</v>
      </c>
      <c r="V26" s="21">
        <f t="shared" si="6"/>
        <v>9.3856736991710932E-3</v>
      </c>
      <c r="W26" s="14" t="str">
        <f>IF(B26&lt;=Assumptions!$B$5, IF(V26&lt;0.1,"OK","CHECK"),0)</f>
        <v>OK</v>
      </c>
    </row>
    <row r="27" spans="2:23" x14ac:dyDescent="0.3">
      <c r="B27">
        <f>Pricing_Model!C25</f>
        <v>17</v>
      </c>
      <c r="C27">
        <f t="shared" si="7"/>
        <v>51</v>
      </c>
      <c r="D27" s="2">
        <f>VLOOKUP(C27,Mortality_Table!B23:D123,2,0)</f>
        <v>4.0109999999999998E-3</v>
      </c>
      <c r="E27" s="2">
        <f t="shared" si="0"/>
        <v>0.99598900000000001</v>
      </c>
      <c r="F27" s="13">
        <f>Pricing_Model!W25</f>
        <v>1273.1079354377571</v>
      </c>
      <c r="G27" s="13">
        <f>Pricing_Model!U25</f>
        <v>25.46215870875514</v>
      </c>
      <c r="H27" s="13">
        <f>Pricing_Model!T25</f>
        <v>1000</v>
      </c>
      <c r="I27" s="13">
        <f>Pricing_Model!I25</f>
        <v>100000</v>
      </c>
      <c r="J27" s="13">
        <f>Pricing_Model!J25</f>
        <v>500</v>
      </c>
      <c r="K27" s="5">
        <f>Pricing_Model!K25</f>
        <v>0.06</v>
      </c>
      <c r="L27" s="17">
        <f>Pricing_Model!L25</f>
        <v>0.94339622641509424</v>
      </c>
      <c r="M27" s="18">
        <f>IF(B27&lt;=Assumptions!$B$5,Reserving_Model!L27*Reserving_Model!E27*Reserving_Model!M28+Reserving_Model!L27*Reserving_Model!D27,0)</f>
        <v>3.5301715033120941E-2</v>
      </c>
      <c r="N27" s="16">
        <f>IF(B27&lt;=Assumptions!$B$5, 1+N28*L27*E27,0)</f>
        <v>7.0880101540382485</v>
      </c>
      <c r="O27" s="13">
        <f t="shared" si="1"/>
        <v>8843.3259340981022</v>
      </c>
      <c r="P27" s="13">
        <f t="shared" si="2"/>
        <v>7088.0101540382484</v>
      </c>
      <c r="Q27" s="13">
        <f t="shared" si="3"/>
        <v>3547.8223608286544</v>
      </c>
      <c r="R27" s="13">
        <f t="shared" si="4"/>
        <v>1792.5065807688006</v>
      </c>
      <c r="S27" s="13">
        <f t="shared" si="5"/>
        <v>1766.5415972944184</v>
      </c>
      <c r="T27" s="13">
        <f>IF(B27&lt;=Assumptions!$B$5, ((T26+F27-G27-H27)*(1+K27)-((I27+J27)*D27))/E27, 0)</f>
        <v>1766.5515861739361</v>
      </c>
      <c r="V27" s="21">
        <f t="shared" si="6"/>
        <v>9.9888795177776046E-3</v>
      </c>
      <c r="W27" s="14" t="str">
        <f>IF(B27&lt;=Assumptions!$B$5, IF(V27&lt;0.1,"OK","CHECK"),0)</f>
        <v>OK</v>
      </c>
    </row>
    <row r="28" spans="2:23" x14ac:dyDescent="0.3">
      <c r="B28">
        <f>Pricing_Model!C26</f>
        <v>18</v>
      </c>
      <c r="C28">
        <f t="shared" si="7"/>
        <v>52</v>
      </c>
      <c r="D28" s="2">
        <f>VLOOKUP(C28,Mortality_Table!B24:D124,2,0)</f>
        <v>4.2779999999999997E-3</v>
      </c>
      <c r="E28" s="2">
        <f t="shared" si="0"/>
        <v>0.995722</v>
      </c>
      <c r="F28" s="13">
        <f>Pricing_Model!W26</f>
        <v>1273.1079354377571</v>
      </c>
      <c r="G28" s="13">
        <f>Pricing_Model!U26</f>
        <v>25.46215870875514</v>
      </c>
      <c r="H28" s="13">
        <f>Pricing_Model!T26</f>
        <v>1000</v>
      </c>
      <c r="I28" s="13">
        <f>Pricing_Model!I26</f>
        <v>100000</v>
      </c>
      <c r="J28" s="13">
        <f>Pricing_Model!J26</f>
        <v>500</v>
      </c>
      <c r="K28" s="5">
        <f>Pricing_Model!K26</f>
        <v>0.06</v>
      </c>
      <c r="L28" s="17">
        <f>Pricing_Model!L26</f>
        <v>0.94339622641509424</v>
      </c>
      <c r="M28" s="18">
        <f>IF(B28&lt;=Assumptions!$B$5,Reserving_Model!L28*Reserving_Model!E28*Reserving_Model!M29+Reserving_Model!L28*Reserving_Model!D28,0)</f>
        <v>3.3543360353486026E-2</v>
      </c>
      <c r="N28" s="16">
        <f>IF(B28&lt;=Assumptions!$B$5, 1+N29*L28*E28,0)</f>
        <v>6.4792791519590516</v>
      </c>
      <c r="O28" s="13">
        <f t="shared" si="1"/>
        <v>8083.8452701899796</v>
      </c>
      <c r="P28" s="13">
        <f t="shared" si="2"/>
        <v>6479.2791519590519</v>
      </c>
      <c r="Q28" s="13">
        <f t="shared" si="3"/>
        <v>3371.1077155253456</v>
      </c>
      <c r="R28" s="13">
        <f t="shared" si="4"/>
        <v>1766.5415972944184</v>
      </c>
      <c r="S28" s="13">
        <f t="shared" si="5"/>
        <v>1712.4253722071271</v>
      </c>
      <c r="T28" s="13">
        <f>IF(B28&lt;=Assumptions!$B$5, ((T27+F28-G28-H28)*(1+K28)-((I28+J28)*D28))/E28, 0)</f>
        <v>1712.4360059103994</v>
      </c>
      <c r="V28" s="21">
        <f t="shared" si="6"/>
        <v>1.063370327233315E-2</v>
      </c>
      <c r="W28" s="14" t="str">
        <f>IF(B28&lt;=Assumptions!$B$5, IF(V28&lt;0.1,"OK","CHECK"),0)</f>
        <v>OK</v>
      </c>
    </row>
    <row r="29" spans="2:23" x14ac:dyDescent="0.3">
      <c r="B29">
        <f>Pricing_Model!C27</f>
        <v>19</v>
      </c>
      <c r="C29">
        <f t="shared" si="7"/>
        <v>53</v>
      </c>
      <c r="D29" s="2">
        <f>VLOOKUP(C29,Mortality_Table!B25:D125,2,0)</f>
        <v>4.5519999999999996E-3</v>
      </c>
      <c r="E29" s="2">
        <f t="shared" si="0"/>
        <v>0.995448</v>
      </c>
      <c r="F29" s="13">
        <f>Pricing_Model!W27</f>
        <v>1273.1079354377571</v>
      </c>
      <c r="G29" s="13">
        <f>Pricing_Model!U27</f>
        <v>25.46215870875514</v>
      </c>
      <c r="H29" s="13">
        <f>Pricing_Model!T27</f>
        <v>1000</v>
      </c>
      <c r="I29" s="13">
        <f>Pricing_Model!I27</f>
        <v>100000</v>
      </c>
      <c r="J29" s="13">
        <f>Pricing_Model!J27</f>
        <v>500</v>
      </c>
      <c r="K29" s="5">
        <f>Pricing_Model!K27</f>
        <v>0.06</v>
      </c>
      <c r="L29" s="17">
        <f>Pricing_Model!L27</f>
        <v>0.94339622641509424</v>
      </c>
      <c r="M29" s="18">
        <f>IF(B29&lt;=Assumptions!$B$5,Reserving_Model!L29*Reserving_Model!E29*Reserving_Model!M30+Reserving_Model!L29*Reserving_Model!D29,0)</f>
        <v>3.1412343982251262E-2</v>
      </c>
      <c r="N29" s="16">
        <f>IF(B29&lt;=Assumptions!$B$5, 1+N30*L29*E29,0)</f>
        <v>5.832989429857526</v>
      </c>
      <c r="O29" s="13">
        <f t="shared" si="1"/>
        <v>7277.5046278666514</v>
      </c>
      <c r="P29" s="13">
        <f t="shared" si="2"/>
        <v>5832.9894298575264</v>
      </c>
      <c r="Q29" s="13">
        <f t="shared" si="3"/>
        <v>3156.9405702162517</v>
      </c>
      <c r="R29" s="13">
        <f t="shared" si="4"/>
        <v>1712.4253722071271</v>
      </c>
      <c r="S29" s="13">
        <f t="shared" si="5"/>
        <v>1627.6082908120734</v>
      </c>
      <c r="T29" s="13">
        <f>IF(B29&lt;=Assumptions!$B$5, ((T28+F29-G29-H29)*(1+K29)-((I29+J29)*D29))/E29, 0)</f>
        <v>1627.6196140810625</v>
      </c>
      <c r="V29" s="21">
        <f t="shared" si="6"/>
        <v>1.1323268989144708E-2</v>
      </c>
      <c r="W29" s="14" t="str">
        <f>IF(B29&lt;=Assumptions!$B$5, IF(V29&lt;0.1,"OK","CHECK"),0)</f>
        <v>OK</v>
      </c>
    </row>
    <row r="30" spans="2:23" x14ac:dyDescent="0.3">
      <c r="B30">
        <f>Pricing_Model!C28</f>
        <v>20</v>
      </c>
      <c r="C30">
        <f t="shared" si="7"/>
        <v>54</v>
      </c>
      <c r="D30" s="2">
        <f>VLOOKUP(C30,Mortality_Table!B26:D126,2,0)</f>
        <v>4.9280000000000001E-3</v>
      </c>
      <c r="E30" s="2">
        <f t="shared" si="0"/>
        <v>0.99507199999999996</v>
      </c>
      <c r="F30" s="13">
        <f>Pricing_Model!W28</f>
        <v>1273.1079354377571</v>
      </c>
      <c r="G30" s="13">
        <f>Pricing_Model!U28</f>
        <v>25.46215870875514</v>
      </c>
      <c r="H30" s="13">
        <f>Pricing_Model!T28</f>
        <v>1000</v>
      </c>
      <c r="I30" s="13">
        <f>Pricing_Model!I28</f>
        <v>100000</v>
      </c>
      <c r="J30" s="13">
        <f>Pricing_Model!J28</f>
        <v>500</v>
      </c>
      <c r="K30" s="5">
        <f>Pricing_Model!K28</f>
        <v>0.06</v>
      </c>
      <c r="L30" s="17">
        <f>Pricing_Model!L28</f>
        <v>0.94339622641509424</v>
      </c>
      <c r="M30" s="18">
        <f>IF(B30&lt;=Assumptions!$B$5,Reserving_Model!L30*Reserving_Model!E30*Reserving_Model!M31+Reserving_Model!L30*Reserving_Model!D30,0)</f>
        <v>2.8876530588424855E-2</v>
      </c>
      <c r="N30" s="16">
        <f>IF(B30&lt;=Assumptions!$B$5, 1+N31*L30*E30,0)</f>
        <v>5.1463951865380997</v>
      </c>
      <c r="O30" s="13">
        <f t="shared" si="1"/>
        <v>6420.8782198627241</v>
      </c>
      <c r="P30" s="13">
        <f t="shared" si="2"/>
        <v>5146.3951865380996</v>
      </c>
      <c r="Q30" s="13">
        <f t="shared" si="3"/>
        <v>2902.0913241366979</v>
      </c>
      <c r="R30" s="13">
        <f t="shared" si="4"/>
        <v>1627.6082908120734</v>
      </c>
      <c r="S30" s="13">
        <f t="shared" si="5"/>
        <v>1499.8968030389169</v>
      </c>
      <c r="T30" s="13">
        <f>IF(B30&lt;=Assumptions!$B$5, ((T29+F30-G30-H30)*(1+K30)-((I30+J30)*D30))/E30, 0)</f>
        <v>1499.9088651461088</v>
      </c>
      <c r="V30" s="21">
        <f t="shared" si="6"/>
        <v>1.2062107191923133E-2</v>
      </c>
      <c r="W30" s="14" t="str">
        <f>IF(B30&lt;=Assumptions!$B$5, IF(V30&lt;0.1,"OK","CHECK"),0)</f>
        <v>OK</v>
      </c>
    </row>
    <row r="31" spans="2:23" x14ac:dyDescent="0.3">
      <c r="B31">
        <f>Pricing_Model!C29</f>
        <v>21</v>
      </c>
      <c r="C31">
        <f t="shared" si="7"/>
        <v>55</v>
      </c>
      <c r="D31" s="2">
        <f>VLOOKUP(C31,Mortality_Table!B27:D127,2,0)</f>
        <v>5.3200000000000001E-3</v>
      </c>
      <c r="E31" s="2">
        <f t="shared" si="0"/>
        <v>0.99468000000000001</v>
      </c>
      <c r="F31" s="13">
        <f>Pricing_Model!W29</f>
        <v>1273.1079354377571</v>
      </c>
      <c r="G31" s="13">
        <f>Pricing_Model!U29</f>
        <v>25.46215870875514</v>
      </c>
      <c r="H31" s="13">
        <f>Pricing_Model!T29</f>
        <v>1000</v>
      </c>
      <c r="I31" s="13">
        <f>Pricing_Model!I29</f>
        <v>100000</v>
      </c>
      <c r="J31" s="13">
        <f>Pricing_Model!J29</f>
        <v>500</v>
      </c>
      <c r="K31" s="5">
        <f>Pricing_Model!K29</f>
        <v>0.06</v>
      </c>
      <c r="L31" s="17">
        <f>Pricing_Model!L29</f>
        <v>0.94339622641509424</v>
      </c>
      <c r="M31" s="18">
        <f>IF(B31&lt;=Assumptions!$B$5,Reserving_Model!L31*Reserving_Model!E31*Reserving_Model!M32+Reserving_Model!L31*Reserving_Model!D31,0)</f>
        <v>2.5808305754488468E-2</v>
      </c>
      <c r="N31" s="16">
        <f>IF(B31&lt;=Assumptions!$B$5, 1+N32*L31*E31,0)</f>
        <v>4.4169456056751528</v>
      </c>
      <c r="O31" s="13">
        <f t="shared" si="1"/>
        <v>5510.7835309623279</v>
      </c>
      <c r="P31" s="13">
        <f t="shared" si="2"/>
        <v>4416.9456056751533</v>
      </c>
      <c r="Q31" s="13">
        <f t="shared" si="3"/>
        <v>2593.734728326091</v>
      </c>
      <c r="R31" s="13">
        <f t="shared" si="4"/>
        <v>1499.8968030389169</v>
      </c>
      <c r="S31" s="13">
        <f t="shared" si="5"/>
        <v>1324.7829800076333</v>
      </c>
      <c r="T31" s="13">
        <f>IF(B31&lt;=Assumptions!$B$5, ((T30+F31-G31-H31)*(1+K31)-((I31+J31)*D31))/E31, 0)</f>
        <v>1324.7958342256984</v>
      </c>
      <c r="V31" s="21">
        <f t="shared" si="6"/>
        <v>1.2854218065058376E-2</v>
      </c>
      <c r="W31" s="14" t="str">
        <f>IF(B31&lt;=Assumptions!$B$5, IF(V31&lt;0.1,"OK","CHECK"),0)</f>
        <v>OK</v>
      </c>
    </row>
    <row r="32" spans="2:23" x14ac:dyDescent="0.3">
      <c r="B32">
        <f>Pricing_Model!C30</f>
        <v>22</v>
      </c>
      <c r="C32">
        <f t="shared" si="7"/>
        <v>56</v>
      </c>
      <c r="D32" s="2">
        <f>VLOOKUP(C32,Mortality_Table!B28:D128,2,0)</f>
        <v>5.7400000000000003E-3</v>
      </c>
      <c r="E32" s="2">
        <f t="shared" si="0"/>
        <v>0.99426000000000003</v>
      </c>
      <c r="F32" s="13">
        <f>Pricing_Model!W30</f>
        <v>1273.1079354377571</v>
      </c>
      <c r="G32" s="13">
        <f>Pricing_Model!U30</f>
        <v>25.46215870875514</v>
      </c>
      <c r="H32" s="13">
        <f>Pricing_Model!T30</f>
        <v>1000</v>
      </c>
      <c r="I32" s="13">
        <f>Pricing_Model!I30</f>
        <v>100000</v>
      </c>
      <c r="J32" s="13">
        <f>Pricing_Model!J30</f>
        <v>500</v>
      </c>
      <c r="K32" s="5">
        <f>Pricing_Model!K30</f>
        <v>0.06</v>
      </c>
      <c r="L32" s="17">
        <f>Pricing_Model!L30</f>
        <v>0.94339622641509424</v>
      </c>
      <c r="M32" s="18">
        <f>IF(B32&lt;=Assumptions!$B$5,Reserving_Model!L32*Reserving_Model!E32*Reserving_Model!M33+Reserving_Model!L32*Reserving_Model!D32,0)</f>
        <v>2.2154666927813749E-2</v>
      </c>
      <c r="N32" s="16">
        <f>IF(B32&lt;=Assumptions!$B$5, 1+N33*L32*E32,0)</f>
        <v>3.6413342401733844</v>
      </c>
      <c r="O32" s="13">
        <f t="shared" si="1"/>
        <v>4543.0952864110322</v>
      </c>
      <c r="P32" s="13">
        <f t="shared" si="2"/>
        <v>3641.3342401733844</v>
      </c>
      <c r="Q32" s="13">
        <f t="shared" si="3"/>
        <v>2226.5440262452817</v>
      </c>
      <c r="R32" s="13">
        <f t="shared" si="4"/>
        <v>1324.7829800076333</v>
      </c>
      <c r="S32" s="13">
        <f t="shared" si="5"/>
        <v>1096.1966509170979</v>
      </c>
      <c r="T32" s="13">
        <f>IF(B32&lt;=Assumptions!$B$5, ((T31+F32-G32-H32)*(1+K32)-((I32+J32)*D32))/E32, 0)</f>
        <v>1096.2103550499694</v>
      </c>
      <c r="V32" s="21">
        <f t="shared" si="6"/>
        <v>1.3704132871453112E-2</v>
      </c>
      <c r="W32" s="14" t="str">
        <f>IF(B32&lt;=Assumptions!$B$5, IF(V32&lt;0.1,"OK","CHECK"),0)</f>
        <v>OK</v>
      </c>
    </row>
    <row r="33" spans="2:23" x14ac:dyDescent="0.3">
      <c r="B33">
        <f>Pricing_Model!C31</f>
        <v>23</v>
      </c>
      <c r="C33">
        <f t="shared" si="7"/>
        <v>57</v>
      </c>
      <c r="D33" s="2">
        <f>VLOOKUP(C33,Mortality_Table!B29:D129,2,0)</f>
        <v>6.2529999999999999E-3</v>
      </c>
      <c r="E33" s="2">
        <f t="shared" si="0"/>
        <v>0.99374700000000005</v>
      </c>
      <c r="F33" s="13">
        <f>Pricing_Model!W31</f>
        <v>1273.1079354377571</v>
      </c>
      <c r="G33" s="13">
        <f>Pricing_Model!U31</f>
        <v>25.46215870875514</v>
      </c>
      <c r="H33" s="13">
        <f>Pricing_Model!T31</f>
        <v>1000</v>
      </c>
      <c r="I33" s="13">
        <f>Pricing_Model!I31</f>
        <v>100000</v>
      </c>
      <c r="J33" s="13">
        <f>Pricing_Model!J31</f>
        <v>500</v>
      </c>
      <c r="K33" s="5">
        <f>Pricing_Model!K31</f>
        <v>0.06</v>
      </c>
      <c r="L33" s="17">
        <f>Pricing_Model!L31</f>
        <v>0.94339622641509424</v>
      </c>
      <c r="M33" s="18">
        <f>IF(B33&lt;=Assumptions!$B$5,Reserving_Model!L33*Reserving_Model!E33*Reserving_Model!M34+Reserving_Model!L33*Reserving_Model!D33,0)</f>
        <v>1.7846385194499E-2</v>
      </c>
      <c r="N33" s="16">
        <f>IF(B33&lt;=Assumptions!$B$5, 1+N34*L33*E33,0)</f>
        <v>2.8159780083517267</v>
      </c>
      <c r="O33" s="13">
        <f t="shared" si="1"/>
        <v>3513.343069481778</v>
      </c>
      <c r="P33" s="13">
        <f t="shared" si="2"/>
        <v>2815.9780083517267</v>
      </c>
      <c r="Q33" s="13">
        <f t="shared" si="3"/>
        <v>1793.5617120471495</v>
      </c>
      <c r="R33" s="13">
        <f t="shared" si="4"/>
        <v>1096.1966509170979</v>
      </c>
      <c r="S33" s="13">
        <f t="shared" si="5"/>
        <v>801.05547317865194</v>
      </c>
      <c r="T33" s="13">
        <f>IF(B33&lt;=Assumptions!$B$5, ((T32+F33-G33-H33)*(1+K33)-((I33+J33)*D33))/E33, 0)</f>
        <v>801.07009096451122</v>
      </c>
      <c r="V33" s="21">
        <f t="shared" si="6"/>
        <v>1.4617785859286414E-2</v>
      </c>
      <c r="W33" s="14" t="str">
        <f>IF(B33&lt;=Assumptions!$B$5, IF(V33&lt;0.1,"OK","CHECK"),0)</f>
        <v>OK</v>
      </c>
    </row>
    <row r="34" spans="2:23" x14ac:dyDescent="0.3">
      <c r="B34">
        <f>Pricing_Model!C32</f>
        <v>24</v>
      </c>
      <c r="C34">
        <f t="shared" si="7"/>
        <v>58</v>
      </c>
      <c r="D34" s="2">
        <f>VLOOKUP(C34,Mortality_Table!B30:D130,2,0)</f>
        <v>6.7279999999999996E-3</v>
      </c>
      <c r="E34" s="2">
        <f t="shared" si="0"/>
        <v>0.99327200000000004</v>
      </c>
      <c r="F34" s="13">
        <f>Pricing_Model!W32</f>
        <v>1273.1079354377571</v>
      </c>
      <c r="G34" s="13">
        <f>Pricing_Model!U32</f>
        <v>25.46215870875514</v>
      </c>
      <c r="H34" s="13">
        <f>Pricing_Model!T32</f>
        <v>1000</v>
      </c>
      <c r="I34" s="13">
        <f>Pricing_Model!I32</f>
        <v>100000</v>
      </c>
      <c r="J34" s="13">
        <f>Pricing_Model!J32</f>
        <v>500</v>
      </c>
      <c r="K34" s="5">
        <f>Pricing_Model!K32</f>
        <v>0.06</v>
      </c>
      <c r="L34" s="17">
        <f>Pricing_Model!L32</f>
        <v>0.94339622641509424</v>
      </c>
      <c r="M34" s="18">
        <f>IF(B34&lt;=Assumptions!$B$5,Reserving_Model!L34*Reserving_Model!E34*Reserving_Model!M35+Reserving_Model!L34*Reserving_Model!D34,0)</f>
        <v>1.2743855635457456E-2</v>
      </c>
      <c r="N34" s="16">
        <f>IF(B34&lt;=Assumptions!$B$5, 1+N35*L34*E34,0)</f>
        <v>1.9370490566037737</v>
      </c>
      <c r="O34" s="13">
        <f t="shared" si="1"/>
        <v>2416.7510747885958</v>
      </c>
      <c r="P34" s="13">
        <f t="shared" si="2"/>
        <v>1937.0490566037736</v>
      </c>
      <c r="Q34" s="13">
        <f t="shared" si="3"/>
        <v>1280.7574913634744</v>
      </c>
      <c r="R34" s="13">
        <f t="shared" si="4"/>
        <v>801.05547317865194</v>
      </c>
      <c r="S34" s="13">
        <f t="shared" si="5"/>
        <v>438.40894025213015</v>
      </c>
      <c r="T34" s="13">
        <f>IF(B34&lt;=Assumptions!$B$5, ((T33+F34-G34-H34)*(1+K34)-((I34+J34)*D34))/E34, 0)</f>
        <v>438.42454006065219</v>
      </c>
      <c r="V34" s="21">
        <f t="shared" si="6"/>
        <v>1.5599808522040348E-2</v>
      </c>
      <c r="W34" s="14" t="str">
        <f>IF(B34&lt;=Assumptions!$B$5, IF(V34&lt;0.1,"OK","CHECK"),0)</f>
        <v>OK</v>
      </c>
    </row>
    <row r="35" spans="2:23" x14ac:dyDescent="0.3">
      <c r="B35">
        <f>Pricing_Model!C33</f>
        <v>25</v>
      </c>
      <c r="C35">
        <f t="shared" si="7"/>
        <v>59</v>
      </c>
      <c r="D35" s="2">
        <f>VLOOKUP(C35,Mortality_Table!B31:D131,2,0)</f>
        <v>7.2360000000000002E-3</v>
      </c>
      <c r="E35" s="2">
        <f t="shared" si="0"/>
        <v>0.99276399999999998</v>
      </c>
      <c r="F35" s="13">
        <f>Pricing_Model!W33</f>
        <v>1273.1079354377571</v>
      </c>
      <c r="G35" s="13">
        <f>Pricing_Model!U33</f>
        <v>25.46215870875514</v>
      </c>
      <c r="H35" s="13">
        <f>Pricing_Model!T33</f>
        <v>1000</v>
      </c>
      <c r="I35" s="13">
        <f>Pricing_Model!I33</f>
        <v>100000</v>
      </c>
      <c r="J35" s="13">
        <f>Pricing_Model!J33</f>
        <v>500</v>
      </c>
      <c r="K35" s="5">
        <f>Pricing_Model!K33</f>
        <v>0.06</v>
      </c>
      <c r="L35" s="17">
        <f>Pricing_Model!L33</f>
        <v>0.94339622641509424</v>
      </c>
      <c r="M35" s="18">
        <f>IF(B35&lt;=Assumptions!$B$5,Reserving_Model!L35*Reserving_Model!E35*Reserving_Model!M36+Reserving_Model!L35*Reserving_Model!D35,0)</f>
        <v>6.8264150943396218E-3</v>
      </c>
      <c r="N35" s="16">
        <f>IF(B35&lt;=Assumptions!$B$5, 1+N36*L35*E35,0)</f>
        <v>1</v>
      </c>
      <c r="O35" s="13">
        <f t="shared" si="1"/>
        <v>1247.6457767290019</v>
      </c>
      <c r="P35" s="13">
        <f t="shared" si="2"/>
        <v>1000</v>
      </c>
      <c r="Q35" s="13">
        <f t="shared" si="3"/>
        <v>686.05471698113195</v>
      </c>
      <c r="R35" s="13">
        <f t="shared" si="4"/>
        <v>438.40894025213015</v>
      </c>
      <c r="S35" s="13">
        <f t="shared" si="5"/>
        <v>0</v>
      </c>
      <c r="T35" s="13">
        <f>IF(B35&lt;=Assumptions!$B$5, ((T34+F35-G35-H35)*(1+K35)-((I35+J35)*D35))/E35, 0)</f>
        <v>1.6656322180569283E-2</v>
      </c>
      <c r="V35" s="21">
        <f t="shared" si="6"/>
        <v>1.6656322180569283E-2</v>
      </c>
      <c r="W35" s="14" t="str">
        <f>IF(B35&lt;=Assumptions!$B$5, IF(V35&lt;0.1,"OK","CHECK"),0)</f>
        <v>OK</v>
      </c>
    </row>
    <row r="36" spans="2:23" x14ac:dyDescent="0.3">
      <c r="B36">
        <f>Pricing_Model!C34</f>
        <v>26</v>
      </c>
      <c r="C36">
        <f t="shared" si="7"/>
        <v>60</v>
      </c>
      <c r="D36" s="2">
        <f>VLOOKUP(C36,Mortality_Table!B32:D132,2,0)</f>
        <v>7.7609999999999997E-3</v>
      </c>
      <c r="E36" s="2">
        <f t="shared" si="0"/>
        <v>0.99223899999999998</v>
      </c>
      <c r="F36" s="13">
        <f>Pricing_Model!W34</f>
        <v>0</v>
      </c>
      <c r="G36" s="13">
        <f>Pricing_Model!U34</f>
        <v>0</v>
      </c>
      <c r="H36" s="13">
        <f>Pricing_Model!T34</f>
        <v>0</v>
      </c>
      <c r="I36" s="13">
        <f>Pricing_Model!I34</f>
        <v>0</v>
      </c>
      <c r="J36" s="13">
        <f>Pricing_Model!J34</f>
        <v>0</v>
      </c>
      <c r="K36" s="5">
        <f>Pricing_Model!K34</f>
        <v>0.06</v>
      </c>
      <c r="L36" s="17">
        <f>Pricing_Model!L34</f>
        <v>0.94339622641509424</v>
      </c>
      <c r="M36" s="18">
        <f>IF(B36&lt;=Assumptions!$B$5,Reserving_Model!L36*Reserving_Model!E36*Reserving_Model!M37+Reserving_Model!L36*Reserving_Model!D36,0)</f>
        <v>0</v>
      </c>
      <c r="N36" s="16">
        <f>IF(B36&lt;=Assumptions!$B$5, 1+N37*L36*E36,0)</f>
        <v>0</v>
      </c>
      <c r="O36" s="13">
        <f t="shared" si="1"/>
        <v>0</v>
      </c>
      <c r="P36" s="13">
        <f t="shared" si="2"/>
        <v>0</v>
      </c>
      <c r="Q36" s="13">
        <f t="shared" si="3"/>
        <v>0</v>
      </c>
      <c r="R36" s="13">
        <f t="shared" si="4"/>
        <v>0</v>
      </c>
      <c r="S36" s="13">
        <f t="shared" si="5"/>
        <v>0</v>
      </c>
      <c r="T36" s="13">
        <f>IF(B36&lt;=Assumptions!$B$5, ((T35+F36-G36-H36)*(1+K36)-((I36+J36)*D36))/E36, 0)</f>
        <v>0</v>
      </c>
      <c r="V36" s="21">
        <f t="shared" si="6"/>
        <v>0</v>
      </c>
      <c r="W36" s="14">
        <f>IF(B36&lt;=Assumptions!$B$5, IF(V36&lt;0.1,"OK","CHECK"),0)</f>
        <v>0</v>
      </c>
    </row>
    <row r="37" spans="2:23" x14ac:dyDescent="0.3">
      <c r="B37">
        <f>Pricing_Model!C35</f>
        <v>27</v>
      </c>
      <c r="C37">
        <f t="shared" si="7"/>
        <v>61</v>
      </c>
      <c r="D37" s="2">
        <f>VLOOKUP(C37,Mortality_Table!B33:D133,2,0)</f>
        <v>8.5559999999999994E-3</v>
      </c>
      <c r="E37" s="2">
        <f t="shared" si="0"/>
        <v>0.99144399999999999</v>
      </c>
      <c r="F37" s="13">
        <f>Pricing_Model!W35</f>
        <v>0</v>
      </c>
      <c r="G37" s="13">
        <f>Pricing_Model!U35</f>
        <v>0</v>
      </c>
      <c r="H37" s="13">
        <f>Pricing_Model!T35</f>
        <v>0</v>
      </c>
      <c r="I37" s="13">
        <f>Pricing_Model!I35</f>
        <v>0</v>
      </c>
      <c r="J37" s="13">
        <f>Pricing_Model!J35</f>
        <v>0</v>
      </c>
      <c r="K37" s="5">
        <f>Pricing_Model!K35</f>
        <v>0.06</v>
      </c>
      <c r="L37" s="17">
        <f>Pricing_Model!L35</f>
        <v>0.94339622641509424</v>
      </c>
      <c r="M37" s="18">
        <f>IF(B37&lt;=Assumptions!$B$5,Reserving_Model!L37*Reserving_Model!E37*Reserving_Model!M38+Reserving_Model!L37*Reserving_Model!D37,0)</f>
        <v>0</v>
      </c>
      <c r="N37" s="16">
        <f>IF(B37&lt;=Assumptions!$B$5, 1+N38*L37*E37,0)</f>
        <v>0</v>
      </c>
      <c r="O37" s="13">
        <f t="shared" si="1"/>
        <v>0</v>
      </c>
      <c r="P37" s="13">
        <f t="shared" si="2"/>
        <v>0</v>
      </c>
      <c r="Q37" s="13">
        <f t="shared" si="3"/>
        <v>0</v>
      </c>
      <c r="R37" s="13">
        <f t="shared" si="4"/>
        <v>0</v>
      </c>
      <c r="S37" s="13">
        <f t="shared" si="5"/>
        <v>0</v>
      </c>
      <c r="T37" s="13">
        <f>IF(B37&lt;=Assumptions!$B$5, ((T36+F37-G37-H37)*(1+K37)-((I37+J37)*D37))/E37, 0)</f>
        <v>0</v>
      </c>
      <c r="V37" s="21">
        <f t="shared" si="6"/>
        <v>0</v>
      </c>
      <c r="W37" s="14">
        <f>IF(B37&lt;=Assumptions!$B$5, IF(V37&lt;0.1,"OK","CHECK"),0)</f>
        <v>0</v>
      </c>
    </row>
    <row r="38" spans="2:23" x14ac:dyDescent="0.3">
      <c r="B38">
        <f>Pricing_Model!C36</f>
        <v>28</v>
      </c>
      <c r="C38">
        <f t="shared" si="7"/>
        <v>62</v>
      </c>
      <c r="D38" s="2">
        <f>VLOOKUP(C38,Mortality_Table!B34:D134,2,0)</f>
        <v>9.2919999999999999E-3</v>
      </c>
      <c r="E38" s="2">
        <f t="shared" si="0"/>
        <v>0.99070800000000003</v>
      </c>
      <c r="F38" s="13">
        <f>Pricing_Model!W36</f>
        <v>0</v>
      </c>
      <c r="G38" s="13">
        <f>Pricing_Model!U36</f>
        <v>0</v>
      </c>
      <c r="H38" s="13">
        <f>Pricing_Model!T36</f>
        <v>0</v>
      </c>
      <c r="I38" s="13">
        <f>Pricing_Model!I36</f>
        <v>0</v>
      </c>
      <c r="J38" s="13">
        <f>Pricing_Model!J36</f>
        <v>0</v>
      </c>
      <c r="K38" s="5">
        <f>Pricing_Model!K36</f>
        <v>0.06</v>
      </c>
      <c r="L38" s="17">
        <f>Pricing_Model!L36</f>
        <v>0.94339622641509424</v>
      </c>
      <c r="M38" s="18">
        <f>IF(B38&lt;=Assumptions!$B$5,Reserving_Model!L38*Reserving_Model!E38*Reserving_Model!M39+Reserving_Model!L38*Reserving_Model!D38,0)</f>
        <v>0</v>
      </c>
      <c r="N38" s="16">
        <f>IF(B38&lt;=Assumptions!$B$5, 1+N39*L38*E38,0)</f>
        <v>0</v>
      </c>
      <c r="O38" s="13">
        <f t="shared" si="1"/>
        <v>0</v>
      </c>
      <c r="P38" s="13">
        <f t="shared" si="2"/>
        <v>0</v>
      </c>
      <c r="Q38" s="13">
        <f t="shared" si="3"/>
        <v>0</v>
      </c>
      <c r="R38" s="13">
        <f t="shared" si="4"/>
        <v>0</v>
      </c>
      <c r="S38" s="13">
        <f t="shared" si="5"/>
        <v>0</v>
      </c>
      <c r="T38" s="13">
        <f>IF(B38&lt;=Assumptions!$B$5, ((T37+F38-G38-H38)*(1+K38)-((I38+J38)*D38))/E38, 0)</f>
        <v>0</v>
      </c>
      <c r="V38" s="21">
        <f t="shared" si="6"/>
        <v>0</v>
      </c>
      <c r="W38" s="14">
        <f>IF(B38&lt;=Assumptions!$B$5, IF(V38&lt;0.1,"OK","CHECK"),0)</f>
        <v>0</v>
      </c>
    </row>
    <row r="39" spans="2:23" x14ac:dyDescent="0.3">
      <c r="B39">
        <f>Pricing_Model!C37</f>
        <v>29</v>
      </c>
      <c r="C39">
        <f t="shared" si="7"/>
        <v>63</v>
      </c>
      <c r="D39" s="2">
        <f>VLOOKUP(C39,Mortality_Table!B35:D135,2,0)</f>
        <v>1.0033E-2</v>
      </c>
      <c r="E39" s="2">
        <f t="shared" si="0"/>
        <v>0.98996700000000004</v>
      </c>
      <c r="F39" s="13">
        <f>Pricing_Model!W37</f>
        <v>0</v>
      </c>
      <c r="G39" s="13">
        <f>Pricing_Model!U37</f>
        <v>0</v>
      </c>
      <c r="H39" s="13">
        <f>Pricing_Model!T37</f>
        <v>0</v>
      </c>
      <c r="I39" s="13">
        <f>Pricing_Model!I37</f>
        <v>0</v>
      </c>
      <c r="J39" s="13">
        <f>Pricing_Model!J37</f>
        <v>0</v>
      </c>
      <c r="K39" s="5">
        <f>Pricing_Model!K37</f>
        <v>0.06</v>
      </c>
      <c r="L39" s="17">
        <f>Pricing_Model!L37</f>
        <v>0.94339622641509424</v>
      </c>
      <c r="M39" s="18">
        <f>IF(B39&lt;=Assumptions!$B$5,Reserving_Model!L39*Reserving_Model!E39*Reserving_Model!M40+Reserving_Model!L39*Reserving_Model!D39,0)</f>
        <v>0</v>
      </c>
      <c r="N39" s="16">
        <f>IF(B39&lt;=Assumptions!$B$5, 1+N40*L39*E39,0)</f>
        <v>0</v>
      </c>
      <c r="O39" s="13">
        <f t="shared" si="1"/>
        <v>0</v>
      </c>
      <c r="P39" s="13">
        <f t="shared" si="2"/>
        <v>0</v>
      </c>
      <c r="Q39" s="13">
        <f t="shared" si="3"/>
        <v>0</v>
      </c>
      <c r="R39" s="13">
        <f t="shared" si="4"/>
        <v>0</v>
      </c>
      <c r="S39" s="13">
        <f t="shared" si="5"/>
        <v>0</v>
      </c>
      <c r="T39" s="13">
        <f>IF(B39&lt;=Assumptions!$B$5, ((T38+F39-G39-H39)*(1+K39)-((I39+J39)*D39))/E39, 0)</f>
        <v>0</v>
      </c>
      <c r="V39" s="21">
        <f t="shared" si="6"/>
        <v>0</v>
      </c>
      <c r="W39" s="14">
        <f>IF(B39&lt;=Assumptions!$B$5, IF(V39&lt;0.1,"OK","CHECK"),0)</f>
        <v>0</v>
      </c>
    </row>
    <row r="40" spans="2:23" x14ac:dyDescent="0.3">
      <c r="B40">
        <f>Pricing_Model!C38</f>
        <v>30</v>
      </c>
      <c r="C40">
        <f t="shared" si="7"/>
        <v>64</v>
      </c>
      <c r="D40" s="2">
        <f>VLOOKUP(C40,Mortality_Table!B36:D136,2,0)</f>
        <v>1.1172E-2</v>
      </c>
      <c r="E40" s="2">
        <f t="shared" si="0"/>
        <v>0.98882800000000004</v>
      </c>
      <c r="F40" s="13">
        <f>Pricing_Model!W38</f>
        <v>0</v>
      </c>
      <c r="G40" s="13">
        <f>Pricing_Model!U38</f>
        <v>0</v>
      </c>
      <c r="H40" s="13">
        <f>Pricing_Model!T38</f>
        <v>0</v>
      </c>
      <c r="I40" s="13">
        <f>Pricing_Model!I38</f>
        <v>0</v>
      </c>
      <c r="J40" s="13">
        <f>Pricing_Model!J38</f>
        <v>0</v>
      </c>
      <c r="K40" s="5">
        <f>Pricing_Model!K38</f>
        <v>0.06</v>
      </c>
      <c r="L40" s="17">
        <f>Pricing_Model!L38</f>
        <v>0.94339622641509424</v>
      </c>
      <c r="M40" s="18">
        <f>IF(B40&lt;=Assumptions!$B$5,Reserving_Model!L40*Reserving_Model!E40*Reserving_Model!M41+Reserving_Model!L40*Reserving_Model!D40,0)</f>
        <v>0</v>
      </c>
      <c r="N40" s="16">
        <f>IF(B40&lt;=Assumptions!$B$5, 1+N41*L40*E40,0)</f>
        <v>0</v>
      </c>
      <c r="O40" s="13">
        <f t="shared" si="1"/>
        <v>0</v>
      </c>
      <c r="P40" s="13">
        <f t="shared" si="2"/>
        <v>0</v>
      </c>
      <c r="Q40" s="13">
        <f t="shared" si="3"/>
        <v>0</v>
      </c>
      <c r="R40" s="13">
        <f t="shared" si="4"/>
        <v>0</v>
      </c>
      <c r="S40" s="13">
        <f t="shared" si="5"/>
        <v>0</v>
      </c>
      <c r="T40" s="13">
        <f>IF(B40&lt;=Assumptions!$B$5, ((T39+F40-G40-H40)*(1+K40)-((I40+J40)*D40))/E40, 0)</f>
        <v>0</v>
      </c>
      <c r="V40" s="21">
        <f t="shared" si="6"/>
        <v>0</v>
      </c>
      <c r="W40" s="14">
        <f>IF(B40&lt;=Assumptions!$B$5, IF(V40&lt;0.1,"OK","CHECK"),0)</f>
        <v>0</v>
      </c>
    </row>
    <row r="41" spans="2:23" x14ac:dyDescent="0.3">
      <c r="B41">
        <f>Pricing_Model!C39</f>
        <v>31</v>
      </c>
      <c r="C41">
        <f t="shared" si="7"/>
        <v>65</v>
      </c>
      <c r="D41" s="2">
        <f>VLOOKUP(C41,Mortality_Table!B37:D137,2,0)</f>
        <v>1.1976000000000001E-2</v>
      </c>
      <c r="E41" s="2">
        <f t="shared" si="0"/>
        <v>0.98802400000000001</v>
      </c>
      <c r="F41" s="13">
        <f>Pricing_Model!W39</f>
        <v>0</v>
      </c>
      <c r="G41" s="13">
        <f>Pricing_Model!U39</f>
        <v>0</v>
      </c>
      <c r="H41" s="13">
        <f>Pricing_Model!T39</f>
        <v>0</v>
      </c>
      <c r="I41" s="13">
        <f>Pricing_Model!I39</f>
        <v>0</v>
      </c>
      <c r="J41" s="13">
        <f>Pricing_Model!J39</f>
        <v>0</v>
      </c>
      <c r="K41" s="5">
        <f>Pricing_Model!K39</f>
        <v>0.06</v>
      </c>
      <c r="L41" s="17">
        <f>Pricing_Model!L39</f>
        <v>0.94339622641509424</v>
      </c>
      <c r="M41" s="18">
        <f>IF(B41&lt;=Assumptions!$B$5,Reserving_Model!L41*Reserving_Model!E41*Reserving_Model!M42+Reserving_Model!L41*Reserving_Model!D41,0)</f>
        <v>0</v>
      </c>
      <c r="N41" s="16">
        <f>IF(B41&lt;=Assumptions!$B$5, 1+N42*L41*E41,0)</f>
        <v>0</v>
      </c>
      <c r="O41" s="13">
        <f t="shared" si="1"/>
        <v>0</v>
      </c>
      <c r="P41" s="13">
        <f t="shared" si="2"/>
        <v>0</v>
      </c>
      <c r="Q41" s="13">
        <f t="shared" si="3"/>
        <v>0</v>
      </c>
      <c r="R41" s="13">
        <f t="shared" si="4"/>
        <v>0</v>
      </c>
      <c r="S41" s="13">
        <f t="shared" si="5"/>
        <v>0</v>
      </c>
      <c r="T41" s="13">
        <f>IF(B41&lt;=Assumptions!$B$5, ((T40+F41-G41-H41)*(1+K41)-((I41+J41)*D41))/E41, 0)</f>
        <v>0</v>
      </c>
      <c r="V41" s="21">
        <f t="shared" si="6"/>
        <v>0</v>
      </c>
      <c r="W41" s="14">
        <f>IF(B41&lt;=Assumptions!$B$5, IF(V41&lt;0.1,"OK","CHECK"),0)</f>
        <v>0</v>
      </c>
    </row>
    <row r="42" spans="2:23" x14ac:dyDescent="0.3">
      <c r="B42">
        <f>Pricing_Model!C40</f>
        <v>32</v>
      </c>
      <c r="C42">
        <f t="shared" si="7"/>
        <v>66</v>
      </c>
      <c r="D42" s="2">
        <f>VLOOKUP(C42,Mortality_Table!B38:D138,2,0)</f>
        <v>1.3403999999999999E-2</v>
      </c>
      <c r="E42" s="2">
        <f t="shared" si="0"/>
        <v>0.98659600000000003</v>
      </c>
      <c r="F42" s="13">
        <f>Pricing_Model!W40</f>
        <v>0</v>
      </c>
      <c r="G42" s="13">
        <f>Pricing_Model!U40</f>
        <v>0</v>
      </c>
      <c r="H42" s="13">
        <f>Pricing_Model!T40</f>
        <v>0</v>
      </c>
      <c r="I42" s="13">
        <f>Pricing_Model!I40</f>
        <v>0</v>
      </c>
      <c r="J42" s="13">
        <f>Pricing_Model!J40</f>
        <v>0</v>
      </c>
      <c r="K42" s="5">
        <f>Pricing_Model!K40</f>
        <v>0.06</v>
      </c>
      <c r="L42" s="17">
        <f>Pricing_Model!L40</f>
        <v>0.94339622641509424</v>
      </c>
      <c r="M42" s="18">
        <f>IF(B42&lt;=Assumptions!$B$5,Reserving_Model!L42*Reserving_Model!E42*Reserving_Model!M43+Reserving_Model!L42*Reserving_Model!D42,0)</f>
        <v>0</v>
      </c>
      <c r="N42" s="16">
        <f>IF(B42&lt;=Assumptions!$B$5, 1+N43*L42*E42,0)</f>
        <v>0</v>
      </c>
      <c r="O42" s="13">
        <f t="shared" si="1"/>
        <v>0</v>
      </c>
      <c r="P42" s="13">
        <f t="shared" si="2"/>
        <v>0</v>
      </c>
      <c r="Q42" s="13">
        <f t="shared" si="3"/>
        <v>0</v>
      </c>
      <c r="R42" s="13">
        <f t="shared" si="4"/>
        <v>0</v>
      </c>
      <c r="S42" s="13">
        <f t="shared" si="5"/>
        <v>0</v>
      </c>
      <c r="T42" s="13">
        <f>IF(B42&lt;=Assumptions!$B$5, ((T41+F42-G42-H42)*(1+K42)-((I42+J42)*D42))/E42, 0)</f>
        <v>0</v>
      </c>
      <c r="V42" s="21">
        <f t="shared" si="6"/>
        <v>0</v>
      </c>
      <c r="W42" s="14">
        <f>IF(B42&lt;=Assumptions!$B$5, IF(V42&lt;0.1,"OK","CHECK"),0)</f>
        <v>0</v>
      </c>
    </row>
    <row r="43" spans="2:23" x14ac:dyDescent="0.3">
      <c r="B43">
        <f>Pricing_Model!C41</f>
        <v>33</v>
      </c>
      <c r="C43">
        <f t="shared" si="7"/>
        <v>67</v>
      </c>
      <c r="D43" s="2">
        <f>VLOOKUP(C43,Mortality_Table!B39:D139,2,0)</f>
        <v>1.4795000000000001E-2</v>
      </c>
      <c r="E43" s="2">
        <f t="shared" si="0"/>
        <v>0.985205</v>
      </c>
      <c r="F43" s="13">
        <f>Pricing_Model!W41</f>
        <v>0</v>
      </c>
      <c r="G43" s="13">
        <f>Pricing_Model!U41</f>
        <v>0</v>
      </c>
      <c r="H43" s="13">
        <f>Pricing_Model!T41</f>
        <v>0</v>
      </c>
      <c r="I43" s="13">
        <f>Pricing_Model!I41</f>
        <v>0</v>
      </c>
      <c r="J43" s="13">
        <f>Pricing_Model!J41</f>
        <v>0</v>
      </c>
      <c r="K43" s="5">
        <f>Pricing_Model!K41</f>
        <v>0.06</v>
      </c>
      <c r="L43" s="17">
        <f>Pricing_Model!L41</f>
        <v>0.94339622641509424</v>
      </c>
      <c r="M43" s="18">
        <f>IF(B43&lt;=Assumptions!$B$5,Reserving_Model!L43*Reserving_Model!E43*Reserving_Model!M44+Reserving_Model!L43*Reserving_Model!D43,0)</f>
        <v>0</v>
      </c>
      <c r="N43" s="16">
        <f>IF(B43&lt;=Assumptions!$B$5, 1+N44*L43*E43,0)</f>
        <v>0</v>
      </c>
      <c r="O43" s="13">
        <f t="shared" si="1"/>
        <v>0</v>
      </c>
      <c r="P43" s="13">
        <f t="shared" si="2"/>
        <v>0</v>
      </c>
      <c r="Q43" s="13">
        <f t="shared" si="3"/>
        <v>0</v>
      </c>
      <c r="R43" s="13">
        <f t="shared" si="4"/>
        <v>0</v>
      </c>
      <c r="S43" s="13">
        <f t="shared" si="5"/>
        <v>0</v>
      </c>
      <c r="T43" s="13">
        <f>IF(B43&lt;=Assumptions!$B$5, ((T42+F43-G43-H43)*(1+K43)-((I43+J43)*D43))/E43, 0)</f>
        <v>0</v>
      </c>
      <c r="V43" s="21">
        <f t="shared" si="6"/>
        <v>0</v>
      </c>
      <c r="W43" s="14">
        <f>IF(B43&lt;=Assumptions!$B$5, IF(V43&lt;0.1,"OK","CHECK"),0)</f>
        <v>0</v>
      </c>
    </row>
    <row r="44" spans="2:23" x14ac:dyDescent="0.3">
      <c r="B44">
        <f>Pricing_Model!C42</f>
        <v>34</v>
      </c>
      <c r="C44">
        <f t="shared" si="7"/>
        <v>68</v>
      </c>
      <c r="D44" s="2">
        <f>VLOOKUP(C44,Mortality_Table!B40:D140,2,0)</f>
        <v>1.6279999999999999E-2</v>
      </c>
      <c r="E44" s="2">
        <f t="shared" si="0"/>
        <v>0.98372000000000004</v>
      </c>
      <c r="F44" s="13">
        <f>Pricing_Model!W42</f>
        <v>0</v>
      </c>
      <c r="G44" s="13">
        <f>Pricing_Model!U42</f>
        <v>0</v>
      </c>
      <c r="H44" s="13">
        <f>Pricing_Model!T42</f>
        <v>0</v>
      </c>
      <c r="I44" s="13">
        <f>Pricing_Model!I42</f>
        <v>0</v>
      </c>
      <c r="J44" s="13">
        <f>Pricing_Model!J42</f>
        <v>0</v>
      </c>
      <c r="K44" s="5">
        <f>Pricing_Model!K42</f>
        <v>0.06</v>
      </c>
      <c r="L44" s="17">
        <f>Pricing_Model!L42</f>
        <v>0.94339622641509424</v>
      </c>
      <c r="M44" s="18">
        <f>IF(B44&lt;=Assumptions!$B$5,Reserving_Model!L44*Reserving_Model!E44*Reserving_Model!M45+Reserving_Model!L44*Reserving_Model!D44,0)</f>
        <v>0</v>
      </c>
      <c r="N44" s="16">
        <f>IF(B44&lt;=Assumptions!$B$5, 1+N45*L44*E44,0)</f>
        <v>0</v>
      </c>
      <c r="O44" s="13">
        <f t="shared" si="1"/>
        <v>0</v>
      </c>
      <c r="P44" s="13">
        <f t="shared" si="2"/>
        <v>0</v>
      </c>
      <c r="Q44" s="13">
        <f t="shared" si="3"/>
        <v>0</v>
      </c>
      <c r="R44" s="13">
        <f t="shared" si="4"/>
        <v>0</v>
      </c>
      <c r="S44" s="13">
        <f t="shared" si="5"/>
        <v>0</v>
      </c>
      <c r="T44" s="13">
        <f>IF(B44&lt;=Assumptions!$B$5, ((T43+F44-G44-H44)*(1+K44)-((I44+J44)*D44))/E44, 0)</f>
        <v>0</v>
      </c>
      <c r="V44" s="21">
        <f t="shared" si="6"/>
        <v>0</v>
      </c>
      <c r="W44" s="14">
        <f>IF(B44&lt;=Assumptions!$B$5, IF(V44&lt;0.1,"OK","CHECK"),0)</f>
        <v>0</v>
      </c>
    </row>
    <row r="45" spans="2:23" x14ac:dyDescent="0.3">
      <c r="B45">
        <f>Pricing_Model!C43</f>
        <v>35</v>
      </c>
      <c r="C45">
        <f t="shared" si="7"/>
        <v>69</v>
      </c>
      <c r="D45" s="2">
        <f>VLOOKUP(C45,Mortality_Table!B41:D141,2,0)</f>
        <v>1.7595E-2</v>
      </c>
      <c r="E45" s="2">
        <f t="shared" si="0"/>
        <v>0.98240499999999997</v>
      </c>
      <c r="F45" s="13">
        <f>Pricing_Model!W43</f>
        <v>0</v>
      </c>
      <c r="G45" s="13">
        <f>Pricing_Model!U43</f>
        <v>0</v>
      </c>
      <c r="H45" s="13">
        <f>Pricing_Model!T43</f>
        <v>0</v>
      </c>
      <c r="I45" s="13">
        <f>Pricing_Model!I43</f>
        <v>0</v>
      </c>
      <c r="J45" s="13">
        <f>Pricing_Model!J43</f>
        <v>0</v>
      </c>
      <c r="K45" s="5">
        <f>Pricing_Model!K43</f>
        <v>0.06</v>
      </c>
      <c r="L45" s="17">
        <f>Pricing_Model!L43</f>
        <v>0.94339622641509424</v>
      </c>
      <c r="M45" s="18">
        <f>IF(B45&lt;=Assumptions!$B$5,Reserving_Model!L45*Reserving_Model!E45*Reserving_Model!M46+Reserving_Model!L45*Reserving_Model!D45,0)</f>
        <v>0</v>
      </c>
      <c r="N45" s="16">
        <f>IF(B45&lt;=Assumptions!$B$5, 1+N46*L45*E45,0)</f>
        <v>0</v>
      </c>
      <c r="O45" s="13">
        <f t="shared" si="1"/>
        <v>0</v>
      </c>
      <c r="P45" s="13">
        <f t="shared" si="2"/>
        <v>0</v>
      </c>
      <c r="Q45" s="13">
        <f t="shared" si="3"/>
        <v>0</v>
      </c>
      <c r="R45" s="13">
        <f t="shared" si="4"/>
        <v>0</v>
      </c>
      <c r="S45" s="13">
        <f t="shared" si="5"/>
        <v>0</v>
      </c>
      <c r="T45" s="13">
        <f>IF(B45&lt;=Assumptions!$B$5, ((T44+F45-G45-H45)*(1+K45)-((I45+J45)*D45))/E45, 0)</f>
        <v>0</v>
      </c>
      <c r="V45" s="21">
        <f t="shared" si="6"/>
        <v>0</v>
      </c>
      <c r="W45" s="14">
        <f>IF(B45&lt;=Assumptions!$B$5, IF(V45&lt;0.1,"OK","CHECK"),0)</f>
        <v>0</v>
      </c>
    </row>
    <row r="46" spans="2:23" x14ac:dyDescent="0.3">
      <c r="B46">
        <f>Pricing_Model!C44</f>
        <v>36</v>
      </c>
      <c r="C46">
        <f t="shared" si="7"/>
        <v>70</v>
      </c>
      <c r="D46" s="2">
        <f>VLOOKUP(C46,Mortality_Table!B42:D142,2,0)</f>
        <v>1.9526999999999999E-2</v>
      </c>
      <c r="E46" s="2">
        <f t="shared" si="0"/>
        <v>0.98047300000000004</v>
      </c>
      <c r="F46" s="13">
        <f>Pricing_Model!W44</f>
        <v>0</v>
      </c>
      <c r="G46" s="13">
        <f>Pricing_Model!U44</f>
        <v>0</v>
      </c>
      <c r="H46" s="13">
        <f>Pricing_Model!T44</f>
        <v>0</v>
      </c>
      <c r="I46" s="13">
        <f>Pricing_Model!I44</f>
        <v>0</v>
      </c>
      <c r="J46" s="13">
        <f>Pricing_Model!J44</f>
        <v>0</v>
      </c>
      <c r="K46" s="5">
        <f>Pricing_Model!K44</f>
        <v>0.06</v>
      </c>
      <c r="L46" s="17">
        <f>Pricing_Model!L44</f>
        <v>0.94339622641509424</v>
      </c>
      <c r="M46" s="18">
        <f>IF(B46&lt;=Assumptions!$B$5,Reserving_Model!L46*Reserving_Model!E46*Reserving_Model!M47+Reserving_Model!L46*Reserving_Model!D46,0)</f>
        <v>0</v>
      </c>
      <c r="N46" s="16">
        <f>IF(B46&lt;=Assumptions!$B$5, 1+N47*L46*E46,0)</f>
        <v>0</v>
      </c>
      <c r="O46" s="13">
        <f t="shared" si="1"/>
        <v>0</v>
      </c>
      <c r="P46" s="13">
        <f t="shared" si="2"/>
        <v>0</v>
      </c>
      <c r="Q46" s="13">
        <f t="shared" si="3"/>
        <v>0</v>
      </c>
      <c r="R46" s="13">
        <f t="shared" si="4"/>
        <v>0</v>
      </c>
      <c r="S46" s="13">
        <f t="shared" si="5"/>
        <v>0</v>
      </c>
      <c r="T46" s="13">
        <f>IF(B46&lt;=Assumptions!$B$5, ((T45+F46-G46-H46)*(1+K46)-((I46+J46)*D46))/E46, 0)</f>
        <v>0</v>
      </c>
      <c r="V46" s="21">
        <f t="shared" si="6"/>
        <v>0</v>
      </c>
      <c r="W46" s="14">
        <f>IF(B46&lt;=Assumptions!$B$5, IF(V46&lt;0.1,"OK","CHECK"),0)</f>
        <v>0</v>
      </c>
    </row>
    <row r="47" spans="2:23" x14ac:dyDescent="0.3">
      <c r="B47">
        <f>Pricing_Model!C45</f>
        <v>37</v>
      </c>
      <c r="C47">
        <f t="shared" si="7"/>
        <v>71</v>
      </c>
      <c r="D47" s="2">
        <f>VLOOKUP(C47,Mortality_Table!B43:D143,2,0)</f>
        <v>2.1506000000000001E-2</v>
      </c>
      <c r="E47" s="2">
        <f t="shared" si="0"/>
        <v>0.97849399999999997</v>
      </c>
      <c r="F47" s="13">
        <f>Pricing_Model!W45</f>
        <v>0</v>
      </c>
      <c r="G47" s="13">
        <f>Pricing_Model!U45</f>
        <v>0</v>
      </c>
      <c r="H47" s="13">
        <f>Pricing_Model!T45</f>
        <v>0</v>
      </c>
      <c r="I47" s="13">
        <f>Pricing_Model!I45</f>
        <v>0</v>
      </c>
      <c r="J47" s="13">
        <f>Pricing_Model!J45</f>
        <v>0</v>
      </c>
      <c r="K47" s="5">
        <f>Pricing_Model!K45</f>
        <v>0.06</v>
      </c>
      <c r="L47" s="17">
        <f>Pricing_Model!L45</f>
        <v>0.94339622641509424</v>
      </c>
      <c r="M47" s="18">
        <f>IF(B47&lt;=Assumptions!$B$5,Reserving_Model!L47*Reserving_Model!E47*Reserving_Model!M48+Reserving_Model!L47*Reserving_Model!D47,0)</f>
        <v>0</v>
      </c>
      <c r="N47" s="16">
        <f>IF(B47&lt;=Assumptions!$B$5, 1+N48*L47*E47,0)</f>
        <v>0</v>
      </c>
      <c r="O47" s="13">
        <f t="shared" si="1"/>
        <v>0</v>
      </c>
      <c r="P47" s="13">
        <f t="shared" si="2"/>
        <v>0</v>
      </c>
      <c r="Q47" s="13">
        <f t="shared" si="3"/>
        <v>0</v>
      </c>
      <c r="R47" s="13">
        <f t="shared" si="4"/>
        <v>0</v>
      </c>
      <c r="S47" s="13">
        <f t="shared" si="5"/>
        <v>0</v>
      </c>
      <c r="T47" s="13">
        <f>IF(B47&lt;=Assumptions!$B$5, ((T46+F47-G47-H47)*(1+K47)-((I47+J47)*D47))/E47, 0)</f>
        <v>0</v>
      </c>
      <c r="V47" s="21">
        <f t="shared" si="6"/>
        <v>0</v>
      </c>
      <c r="W47" s="14">
        <f>IF(B47&lt;=Assumptions!$B$5, IF(V47&lt;0.1,"OK","CHECK"),0)</f>
        <v>0</v>
      </c>
    </row>
    <row r="48" spans="2:23" x14ac:dyDescent="0.3">
      <c r="B48">
        <f>Pricing_Model!C46</f>
        <v>38</v>
      </c>
      <c r="C48">
        <f t="shared" si="7"/>
        <v>72</v>
      </c>
      <c r="D48" s="2">
        <f>VLOOKUP(C48,Mortality_Table!B44:D144,2,0)</f>
        <v>2.3614E-2</v>
      </c>
      <c r="E48" s="2">
        <f t="shared" si="0"/>
        <v>0.97638599999999998</v>
      </c>
      <c r="F48" s="13">
        <f>Pricing_Model!W46</f>
        <v>0</v>
      </c>
      <c r="G48" s="13">
        <f>Pricing_Model!U46</f>
        <v>0</v>
      </c>
      <c r="H48" s="13">
        <f>Pricing_Model!T46</f>
        <v>0</v>
      </c>
      <c r="I48" s="13">
        <f>Pricing_Model!I46</f>
        <v>0</v>
      </c>
      <c r="J48" s="13">
        <f>Pricing_Model!J46</f>
        <v>0</v>
      </c>
      <c r="K48" s="5">
        <f>Pricing_Model!K46</f>
        <v>0.06</v>
      </c>
      <c r="L48" s="17">
        <f>Pricing_Model!L46</f>
        <v>0.94339622641509424</v>
      </c>
      <c r="M48" s="18">
        <f>IF(B48&lt;=Assumptions!$B$5,Reserving_Model!L48*Reserving_Model!E48*Reserving_Model!M49+Reserving_Model!L48*Reserving_Model!D48,0)</f>
        <v>0</v>
      </c>
      <c r="N48" s="16">
        <f>IF(B48&lt;=Assumptions!$B$5, 1+N49*L48*E48,0)</f>
        <v>0</v>
      </c>
      <c r="O48" s="13">
        <f t="shared" si="1"/>
        <v>0</v>
      </c>
      <c r="P48" s="13">
        <f t="shared" si="2"/>
        <v>0</v>
      </c>
      <c r="Q48" s="13">
        <f t="shared" si="3"/>
        <v>0</v>
      </c>
      <c r="R48" s="13">
        <f t="shared" si="4"/>
        <v>0</v>
      </c>
      <c r="S48" s="13">
        <f t="shared" si="5"/>
        <v>0</v>
      </c>
      <c r="T48" s="13">
        <f>IF(B48&lt;=Assumptions!$B$5, ((T47+F48-G48-H48)*(1+K48)-((I48+J48)*D48))/E48, 0)</f>
        <v>0</v>
      </c>
      <c r="V48" s="21">
        <f t="shared" si="6"/>
        <v>0</v>
      </c>
      <c r="W48" s="14">
        <f>IF(B48&lt;=Assumptions!$B$5, IF(V48&lt;0.1,"OK","CHECK"),0)</f>
        <v>0</v>
      </c>
    </row>
    <row r="49" spans="2:23" x14ac:dyDescent="0.3">
      <c r="B49">
        <f>Pricing_Model!C47</f>
        <v>39</v>
      </c>
      <c r="C49">
        <f t="shared" si="7"/>
        <v>73</v>
      </c>
      <c r="D49" s="2">
        <f>VLOOKUP(C49,Mortality_Table!B45:D145,2,0)</f>
        <v>2.5472999999999999E-2</v>
      </c>
      <c r="E49" s="2">
        <f t="shared" si="0"/>
        <v>0.97452700000000003</v>
      </c>
      <c r="F49" s="13">
        <f>Pricing_Model!W47</f>
        <v>0</v>
      </c>
      <c r="G49" s="13">
        <f>Pricing_Model!U47</f>
        <v>0</v>
      </c>
      <c r="H49" s="13">
        <f>Pricing_Model!T47</f>
        <v>0</v>
      </c>
      <c r="I49" s="13">
        <f>Pricing_Model!I47</f>
        <v>0</v>
      </c>
      <c r="J49" s="13">
        <f>Pricing_Model!J47</f>
        <v>0</v>
      </c>
      <c r="K49" s="5">
        <f>Pricing_Model!K47</f>
        <v>0.06</v>
      </c>
      <c r="L49" s="17">
        <f>Pricing_Model!L47</f>
        <v>0.94339622641509424</v>
      </c>
      <c r="M49" s="18">
        <f>IF(B49&lt;=Assumptions!$B$5,Reserving_Model!L49*Reserving_Model!E49*Reserving_Model!M50+Reserving_Model!L49*Reserving_Model!D49,0)</f>
        <v>0</v>
      </c>
      <c r="N49" s="16">
        <f>IF(B49&lt;=Assumptions!$B$5, 1+N50*L49*E49,0)</f>
        <v>0</v>
      </c>
      <c r="O49" s="13">
        <f t="shared" si="1"/>
        <v>0</v>
      </c>
      <c r="P49" s="13">
        <f t="shared" si="2"/>
        <v>0</v>
      </c>
      <c r="Q49" s="13">
        <f t="shared" si="3"/>
        <v>0</v>
      </c>
      <c r="R49" s="13">
        <f t="shared" si="4"/>
        <v>0</v>
      </c>
      <c r="S49" s="13">
        <f t="shared" si="5"/>
        <v>0</v>
      </c>
      <c r="T49" s="13">
        <f>IF(B49&lt;=Assumptions!$B$5, ((T48+F49-G49-H49)*(1+K49)-((I49+J49)*D49))/E49, 0)</f>
        <v>0</v>
      </c>
      <c r="V49" s="21">
        <f t="shared" si="6"/>
        <v>0</v>
      </c>
      <c r="W49" s="14">
        <f>IF(B49&lt;=Assumptions!$B$5, IF(V49&lt;0.1,"OK","CHECK"),0)</f>
        <v>0</v>
      </c>
    </row>
    <row r="50" spans="2:23" x14ac:dyDescent="0.3">
      <c r="B50">
        <f>Pricing_Model!C48</f>
        <v>40</v>
      </c>
      <c r="C50">
        <f t="shared" si="7"/>
        <v>74</v>
      </c>
      <c r="D50" s="2">
        <f>VLOOKUP(C50,Mortality_Table!B46:D146,2,0)</f>
        <v>2.7789000000000001E-2</v>
      </c>
      <c r="E50" s="2">
        <f t="shared" si="0"/>
        <v>0.97221100000000005</v>
      </c>
      <c r="F50" s="13">
        <f>Pricing_Model!W48</f>
        <v>0</v>
      </c>
      <c r="G50" s="13">
        <f>Pricing_Model!U48</f>
        <v>0</v>
      </c>
      <c r="H50" s="13">
        <f>Pricing_Model!T48</f>
        <v>0</v>
      </c>
      <c r="I50" s="13">
        <f>Pricing_Model!I48</f>
        <v>0</v>
      </c>
      <c r="J50" s="13">
        <f>Pricing_Model!J48</f>
        <v>0</v>
      </c>
      <c r="K50" s="5">
        <f>Pricing_Model!K48</f>
        <v>0.06</v>
      </c>
      <c r="L50" s="17">
        <f>Pricing_Model!L48</f>
        <v>0.94339622641509424</v>
      </c>
      <c r="M50" s="18">
        <f>IF(B50&lt;=Assumptions!$B$5,Reserving_Model!L50*Reserving_Model!E50*Reserving_Model!M51+Reserving_Model!L50*Reserving_Model!D50,0)</f>
        <v>0</v>
      </c>
      <c r="N50" s="16">
        <f>IF(B50&lt;=Assumptions!$B$5, 1+N51*L50*E50,0)</f>
        <v>0</v>
      </c>
      <c r="O50" s="13">
        <f t="shared" si="1"/>
        <v>0</v>
      </c>
      <c r="P50" s="13">
        <f t="shared" si="2"/>
        <v>0</v>
      </c>
      <c r="Q50" s="13">
        <f t="shared" si="3"/>
        <v>0</v>
      </c>
      <c r="R50" s="13">
        <f t="shared" si="4"/>
        <v>0</v>
      </c>
      <c r="S50" s="13">
        <f t="shared" si="5"/>
        <v>0</v>
      </c>
      <c r="T50" s="13">
        <f>IF(B50&lt;=Assumptions!$B$5, ((T49+F50-G50-H50)*(1+K50)-((I50+J50)*D50))/E50, 0)</f>
        <v>0</v>
      </c>
      <c r="V50" s="21">
        <f t="shared" si="6"/>
        <v>0</v>
      </c>
      <c r="W50" s="14">
        <f>IF(B50&lt;=Assumptions!$B$5, IF(V50&lt;0.1,"OK","CHECK"),0)</f>
        <v>0</v>
      </c>
    </row>
    <row r="51" spans="2:23" x14ac:dyDescent="0.3">
      <c r="B51">
        <f>Pricing_Model!C49</f>
        <v>41</v>
      </c>
      <c r="C51">
        <f t="shared" si="7"/>
        <v>75</v>
      </c>
      <c r="D51" s="2">
        <f>VLOOKUP(C51,Mortality_Table!B47:D147,2,0)</f>
        <v>3.0318999999999999E-2</v>
      </c>
      <c r="E51" s="2">
        <f t="shared" si="0"/>
        <v>0.96968100000000002</v>
      </c>
      <c r="F51" s="13">
        <f>Pricing_Model!W49</f>
        <v>0</v>
      </c>
      <c r="G51" s="13">
        <f>Pricing_Model!U49</f>
        <v>0</v>
      </c>
      <c r="H51" s="13">
        <f>Pricing_Model!T49</f>
        <v>0</v>
      </c>
      <c r="I51" s="13">
        <f>Pricing_Model!I49</f>
        <v>0</v>
      </c>
      <c r="J51" s="13">
        <f>Pricing_Model!J49</f>
        <v>0</v>
      </c>
      <c r="K51" s="5">
        <f>Pricing_Model!K49</f>
        <v>0.06</v>
      </c>
      <c r="L51" s="17">
        <f>Pricing_Model!L49</f>
        <v>0.94339622641509424</v>
      </c>
      <c r="M51" s="18">
        <f>IF(B51&lt;=Assumptions!$B$5,Reserving_Model!L51*Reserving_Model!E51*Reserving_Model!M52+Reserving_Model!L51*Reserving_Model!D51,0)</f>
        <v>0</v>
      </c>
      <c r="N51" s="16">
        <f>IF(B51&lt;=Assumptions!$B$5, 1+N52*L51*E51,0)</f>
        <v>0</v>
      </c>
      <c r="O51" s="13">
        <f t="shared" si="1"/>
        <v>0</v>
      </c>
      <c r="P51" s="13">
        <f t="shared" si="2"/>
        <v>0</v>
      </c>
      <c r="Q51" s="13">
        <f t="shared" si="3"/>
        <v>0</v>
      </c>
      <c r="R51" s="13">
        <f t="shared" si="4"/>
        <v>0</v>
      </c>
      <c r="S51" s="13">
        <f t="shared" si="5"/>
        <v>0</v>
      </c>
      <c r="T51" s="13">
        <f>IF(B51&lt;=Assumptions!$B$5, ((T50+F51-G51-H51)*(1+K51)-((I51+J51)*D51))/E51, 0)</f>
        <v>0</v>
      </c>
      <c r="V51" s="21">
        <f t="shared" si="6"/>
        <v>0</v>
      </c>
      <c r="W51" s="14">
        <f>IF(B51&lt;=Assumptions!$B$5, IF(V51&lt;0.1,"OK","CHECK"),0)</f>
        <v>0</v>
      </c>
    </row>
    <row r="52" spans="2:23" x14ac:dyDescent="0.3">
      <c r="B52">
        <f>Pricing_Model!C50</f>
        <v>42</v>
      </c>
      <c r="C52">
        <f t="shared" si="7"/>
        <v>76</v>
      </c>
      <c r="D52" s="2">
        <f>VLOOKUP(C52,Mortality_Table!B48:D148,2,0)</f>
        <v>3.3748E-2</v>
      </c>
      <c r="E52" s="2">
        <f t="shared" si="0"/>
        <v>0.966252</v>
      </c>
      <c r="F52" s="13">
        <f>Pricing_Model!W50</f>
        <v>0</v>
      </c>
      <c r="G52" s="13">
        <f>Pricing_Model!U50</f>
        <v>0</v>
      </c>
      <c r="H52" s="13">
        <f>Pricing_Model!T50</f>
        <v>0</v>
      </c>
      <c r="I52" s="13">
        <f>Pricing_Model!I50</f>
        <v>0</v>
      </c>
      <c r="J52" s="13">
        <f>Pricing_Model!J50</f>
        <v>0</v>
      </c>
      <c r="K52" s="5">
        <f>Pricing_Model!K50</f>
        <v>0.06</v>
      </c>
      <c r="L52" s="17">
        <f>Pricing_Model!L50</f>
        <v>0.94339622641509424</v>
      </c>
      <c r="M52" s="18">
        <f>IF(B52&lt;=Assumptions!$B$5,Reserving_Model!L52*Reserving_Model!E52*Reserving_Model!M53+Reserving_Model!L52*Reserving_Model!D52,0)</f>
        <v>0</v>
      </c>
      <c r="N52" s="16">
        <f>IF(B52&lt;=Assumptions!$B$5, 1+N53*L52*E52,0)</f>
        <v>0</v>
      </c>
      <c r="O52" s="13">
        <f t="shared" si="1"/>
        <v>0</v>
      </c>
      <c r="P52" s="13">
        <f t="shared" si="2"/>
        <v>0</v>
      </c>
      <c r="Q52" s="13">
        <f t="shared" si="3"/>
        <v>0</v>
      </c>
      <c r="R52" s="13">
        <f t="shared" si="4"/>
        <v>0</v>
      </c>
      <c r="S52" s="13">
        <f t="shared" si="5"/>
        <v>0</v>
      </c>
      <c r="T52" s="13">
        <f>IF(B52&lt;=Assumptions!$B$5, ((T51+F52-G52-H52)*(1+K52)-((I52+J52)*D52))/E52, 0)</f>
        <v>0</v>
      </c>
      <c r="V52" s="21">
        <f t="shared" si="6"/>
        <v>0</v>
      </c>
      <c r="W52" s="14">
        <f>IF(B52&lt;=Assumptions!$B$5, IF(V52&lt;0.1,"OK","CHECK"),0)</f>
        <v>0</v>
      </c>
    </row>
    <row r="53" spans="2:23" x14ac:dyDescent="0.3">
      <c r="B53">
        <f>Pricing_Model!C51</f>
        <v>43</v>
      </c>
      <c r="C53">
        <f t="shared" si="7"/>
        <v>77</v>
      </c>
      <c r="D53" s="2">
        <f>VLOOKUP(C53,Mortality_Table!B49:D149,2,0)</f>
        <v>3.7142000000000001E-2</v>
      </c>
      <c r="E53" s="2">
        <f t="shared" si="0"/>
        <v>0.96285799999999999</v>
      </c>
      <c r="F53" s="13">
        <f>Pricing_Model!W51</f>
        <v>0</v>
      </c>
      <c r="G53" s="13">
        <f>Pricing_Model!U51</f>
        <v>0</v>
      </c>
      <c r="H53" s="13">
        <f>Pricing_Model!T51</f>
        <v>0</v>
      </c>
      <c r="I53" s="13">
        <f>Pricing_Model!I51</f>
        <v>0</v>
      </c>
      <c r="J53" s="13">
        <f>Pricing_Model!J51</f>
        <v>0</v>
      </c>
      <c r="K53" s="5">
        <f>Pricing_Model!K51</f>
        <v>0.06</v>
      </c>
      <c r="L53" s="17">
        <f>Pricing_Model!L51</f>
        <v>0.94339622641509424</v>
      </c>
      <c r="M53" s="18">
        <f>IF(B53&lt;=Assumptions!$B$5,Reserving_Model!L53*Reserving_Model!E53*Reserving_Model!M54+Reserving_Model!L53*Reserving_Model!D53,0)</f>
        <v>0</v>
      </c>
      <c r="N53" s="16">
        <f>IF(B53&lt;=Assumptions!$B$5, 1+N54*L53*E53,0)</f>
        <v>0</v>
      </c>
      <c r="O53" s="13">
        <f t="shared" si="1"/>
        <v>0</v>
      </c>
      <c r="P53" s="13">
        <f t="shared" si="2"/>
        <v>0</v>
      </c>
      <c r="Q53" s="13">
        <f t="shared" si="3"/>
        <v>0</v>
      </c>
      <c r="R53" s="13">
        <f t="shared" si="4"/>
        <v>0</v>
      </c>
      <c r="S53" s="13">
        <f t="shared" si="5"/>
        <v>0</v>
      </c>
      <c r="T53" s="13">
        <f>IF(B53&lt;=Assumptions!$B$5, ((T52+F53-G53-H53)*(1+K53)-((I53+J53)*D53))/E53, 0)</f>
        <v>0</v>
      </c>
      <c r="V53" s="21">
        <f t="shared" si="6"/>
        <v>0</v>
      </c>
      <c r="W53" s="14">
        <f>IF(B53&lt;=Assumptions!$B$5, IF(V53&lt;0.1,"OK","CHECK"),0)</f>
        <v>0</v>
      </c>
    </row>
    <row r="54" spans="2:23" x14ac:dyDescent="0.3">
      <c r="B54">
        <f>Pricing_Model!C52</f>
        <v>44</v>
      </c>
      <c r="C54">
        <f t="shared" si="7"/>
        <v>78</v>
      </c>
      <c r="D54" s="2">
        <f>VLOOKUP(C54,Mortality_Table!B50:D150,2,0)</f>
        <v>4.2361000000000003E-2</v>
      </c>
      <c r="E54" s="2">
        <f t="shared" si="0"/>
        <v>0.95763900000000002</v>
      </c>
      <c r="F54" s="13">
        <f>Pricing_Model!W52</f>
        <v>0</v>
      </c>
      <c r="G54" s="13">
        <f>Pricing_Model!U52</f>
        <v>0</v>
      </c>
      <c r="H54" s="13">
        <f>Pricing_Model!T52</f>
        <v>0</v>
      </c>
      <c r="I54" s="13">
        <f>Pricing_Model!I52</f>
        <v>0</v>
      </c>
      <c r="J54" s="13">
        <f>Pricing_Model!J52</f>
        <v>0</v>
      </c>
      <c r="K54" s="5">
        <f>Pricing_Model!K52</f>
        <v>0.06</v>
      </c>
      <c r="L54" s="17">
        <f>Pricing_Model!L52</f>
        <v>0.94339622641509424</v>
      </c>
      <c r="M54" s="18">
        <f>IF(B54&lt;=Assumptions!$B$5,Reserving_Model!L54*Reserving_Model!E54*Reserving_Model!M55+Reserving_Model!L54*Reserving_Model!D54,0)</f>
        <v>0</v>
      </c>
      <c r="N54" s="16">
        <f>IF(B54&lt;=Assumptions!$B$5, 1+N55*L54*E54,0)</f>
        <v>0</v>
      </c>
      <c r="O54" s="13">
        <f t="shared" si="1"/>
        <v>0</v>
      </c>
      <c r="P54" s="13">
        <f t="shared" si="2"/>
        <v>0</v>
      </c>
      <c r="Q54" s="13">
        <f t="shared" si="3"/>
        <v>0</v>
      </c>
      <c r="R54" s="13">
        <f t="shared" si="4"/>
        <v>0</v>
      </c>
      <c r="S54" s="13">
        <f t="shared" si="5"/>
        <v>0</v>
      </c>
      <c r="T54" s="13">
        <f>IF(B54&lt;=Assumptions!$B$5, ((T53+F54-G54-H54)*(1+K54)-((I54+J54)*D54))/E54, 0)</f>
        <v>0</v>
      </c>
      <c r="V54" s="21">
        <f t="shared" si="6"/>
        <v>0</v>
      </c>
      <c r="W54" s="14">
        <f>IF(B54&lt;=Assumptions!$B$5, IF(V54&lt;0.1,"OK","CHECK"),0)</f>
        <v>0</v>
      </c>
    </row>
    <row r="55" spans="2:23" x14ac:dyDescent="0.3">
      <c r="B55">
        <f>Pricing_Model!C53</f>
        <v>45</v>
      </c>
      <c r="C55">
        <f t="shared" si="7"/>
        <v>79</v>
      </c>
      <c r="D55" s="2">
        <f>VLOOKUP(C55,Mortality_Table!B51:D151,2,0)</f>
        <v>4.6880999999999999E-2</v>
      </c>
      <c r="E55" s="2">
        <f t="shared" si="0"/>
        <v>0.95311900000000005</v>
      </c>
      <c r="F55" s="13">
        <f>Pricing_Model!W53</f>
        <v>0</v>
      </c>
      <c r="G55" s="13">
        <f>Pricing_Model!U53</f>
        <v>0</v>
      </c>
      <c r="H55" s="13">
        <f>Pricing_Model!T53</f>
        <v>0</v>
      </c>
      <c r="I55" s="13">
        <f>Pricing_Model!I53</f>
        <v>0</v>
      </c>
      <c r="J55" s="13">
        <f>Pricing_Model!J53</f>
        <v>0</v>
      </c>
      <c r="K55" s="5">
        <f>Pricing_Model!K53</f>
        <v>0.06</v>
      </c>
      <c r="L55" s="17">
        <f>Pricing_Model!L53</f>
        <v>0.94339622641509424</v>
      </c>
      <c r="M55" s="18">
        <f>IF(B55&lt;=Assumptions!$B$5,Reserving_Model!L55*Reserving_Model!E55*Reserving_Model!M56+Reserving_Model!L55*Reserving_Model!D55,0)</f>
        <v>0</v>
      </c>
      <c r="N55" s="16">
        <f>IF(B55&lt;=Assumptions!$B$5, 1+N56*L55*E55,0)</f>
        <v>0</v>
      </c>
      <c r="O55" s="13">
        <f t="shared" si="1"/>
        <v>0</v>
      </c>
      <c r="P55" s="13">
        <f t="shared" si="2"/>
        <v>0</v>
      </c>
      <c r="Q55" s="13">
        <f t="shared" si="3"/>
        <v>0</v>
      </c>
      <c r="R55" s="13">
        <f t="shared" si="4"/>
        <v>0</v>
      </c>
      <c r="S55" s="13">
        <f t="shared" si="5"/>
        <v>0</v>
      </c>
      <c r="T55" s="13">
        <f>IF(B55&lt;=Assumptions!$B$5, ((T54+F55-G55-H55)*(1+K55)-((I55+J55)*D55))/E55, 0)</f>
        <v>0</v>
      </c>
      <c r="V55" s="21">
        <f t="shared" si="6"/>
        <v>0</v>
      </c>
      <c r="W55" s="14">
        <f>IF(B55&lt;=Assumptions!$B$5, IF(V55&lt;0.1,"OK","CHECK"),0)</f>
        <v>0</v>
      </c>
    </row>
    <row r="56" spans="2:23" x14ac:dyDescent="0.3">
      <c r="B56">
        <f>Pricing_Model!C54</f>
        <v>46</v>
      </c>
      <c r="C56">
        <f t="shared" si="7"/>
        <v>80</v>
      </c>
      <c r="D56" s="2">
        <f>VLOOKUP(C56,Mortality_Table!B52:D152,2,0)</f>
        <v>5.2664999999999997E-2</v>
      </c>
      <c r="E56" s="2">
        <f t="shared" si="0"/>
        <v>0.94733500000000004</v>
      </c>
      <c r="F56" s="13">
        <f>Pricing_Model!W54</f>
        <v>0</v>
      </c>
      <c r="G56" s="13">
        <f>Pricing_Model!U54</f>
        <v>0</v>
      </c>
      <c r="H56" s="13">
        <f>Pricing_Model!T54</f>
        <v>0</v>
      </c>
      <c r="I56" s="13">
        <f>Pricing_Model!I54</f>
        <v>0</v>
      </c>
      <c r="J56" s="13">
        <f>Pricing_Model!J54</f>
        <v>0</v>
      </c>
      <c r="K56" s="5">
        <f>Pricing_Model!K54</f>
        <v>0.06</v>
      </c>
      <c r="L56" s="17">
        <f>Pricing_Model!L54</f>
        <v>0.94339622641509424</v>
      </c>
      <c r="M56" s="18">
        <f>IF(B56&lt;=Assumptions!$B$5,Reserving_Model!L56*Reserving_Model!E56*Reserving_Model!M57+Reserving_Model!L56*Reserving_Model!D56,0)</f>
        <v>0</v>
      </c>
      <c r="N56" s="16">
        <f>IF(B56&lt;=Assumptions!$B$5, 1+N57*L56*E56,0)</f>
        <v>0</v>
      </c>
      <c r="O56" s="13">
        <f t="shared" si="1"/>
        <v>0</v>
      </c>
      <c r="P56" s="13">
        <f t="shared" si="2"/>
        <v>0</v>
      </c>
      <c r="Q56" s="13">
        <f t="shared" si="3"/>
        <v>0</v>
      </c>
      <c r="R56" s="13">
        <f t="shared" si="4"/>
        <v>0</v>
      </c>
      <c r="S56" s="13">
        <f t="shared" si="5"/>
        <v>0</v>
      </c>
      <c r="T56" s="13">
        <f>IF(B56&lt;=Assumptions!$B$5, ((T55+F56-G56-H56)*(1+K56)-((I56+J56)*D56))/E56, 0)</f>
        <v>0</v>
      </c>
      <c r="V56" s="21">
        <f t="shared" si="6"/>
        <v>0</v>
      </c>
      <c r="W56" s="14">
        <f>IF(B56&lt;=Assumptions!$B$5, IF(V56&lt;0.1,"OK","CHECK"),0)</f>
        <v>0</v>
      </c>
    </row>
    <row r="57" spans="2:23" x14ac:dyDescent="0.3">
      <c r="B57">
        <f>Pricing_Model!C55</f>
        <v>47</v>
      </c>
      <c r="C57">
        <f t="shared" si="7"/>
        <v>81</v>
      </c>
      <c r="D57" s="2">
        <f>VLOOKUP(C57,Mortality_Table!B53:D153,2,0)</f>
        <v>5.9665999999999997E-2</v>
      </c>
      <c r="E57" s="2">
        <f t="shared" si="0"/>
        <v>0.940334</v>
      </c>
      <c r="F57" s="13">
        <f>Pricing_Model!W55</f>
        <v>0</v>
      </c>
      <c r="G57" s="13">
        <f>Pricing_Model!U55</f>
        <v>0</v>
      </c>
      <c r="H57" s="13">
        <f>Pricing_Model!T55</f>
        <v>0</v>
      </c>
      <c r="I57" s="13">
        <f>Pricing_Model!I55</f>
        <v>0</v>
      </c>
      <c r="J57" s="13">
        <f>Pricing_Model!J55</f>
        <v>0</v>
      </c>
      <c r="K57" s="5">
        <f>Pricing_Model!K55</f>
        <v>0.06</v>
      </c>
      <c r="L57" s="17">
        <f>Pricing_Model!L55</f>
        <v>0.94339622641509424</v>
      </c>
      <c r="M57" s="18">
        <f>IF(B57&lt;=Assumptions!$B$5,Reserving_Model!L57*Reserving_Model!E57*Reserving_Model!M58+Reserving_Model!L57*Reserving_Model!D57,0)</f>
        <v>0</v>
      </c>
      <c r="N57" s="16">
        <f>IF(B57&lt;=Assumptions!$B$5, 1+N58*L57*E57,0)</f>
        <v>0</v>
      </c>
      <c r="O57" s="13">
        <f t="shared" si="1"/>
        <v>0</v>
      </c>
      <c r="P57" s="13">
        <f t="shared" si="2"/>
        <v>0</v>
      </c>
      <c r="Q57" s="13">
        <f t="shared" si="3"/>
        <v>0</v>
      </c>
      <c r="R57" s="13">
        <f t="shared" si="4"/>
        <v>0</v>
      </c>
      <c r="S57" s="13">
        <f t="shared" si="5"/>
        <v>0</v>
      </c>
      <c r="T57" s="13">
        <f>IF(B57&lt;=Assumptions!$B$5, ((T56+F57-G57-H57)*(1+K57)-((I57+J57)*D57))/E57, 0)</f>
        <v>0</v>
      </c>
      <c r="V57" s="21">
        <f t="shared" si="6"/>
        <v>0</v>
      </c>
      <c r="W57" s="14">
        <f>IF(B57&lt;=Assumptions!$B$5, IF(V57&lt;0.1,"OK","CHECK"),0)</f>
        <v>0</v>
      </c>
    </row>
    <row r="58" spans="2:23" x14ac:dyDescent="0.3">
      <c r="B58">
        <f>Pricing_Model!C56</f>
        <v>48</v>
      </c>
      <c r="C58">
        <f t="shared" si="7"/>
        <v>82</v>
      </c>
      <c r="D58" s="2">
        <f>VLOOKUP(C58,Mortality_Table!B54:D154,2,0)</f>
        <v>6.7996000000000001E-2</v>
      </c>
      <c r="E58" s="2">
        <f t="shared" si="0"/>
        <v>0.93200400000000005</v>
      </c>
      <c r="F58" s="13">
        <f>Pricing_Model!W56</f>
        <v>0</v>
      </c>
      <c r="G58" s="13">
        <f>Pricing_Model!U56</f>
        <v>0</v>
      </c>
      <c r="H58" s="13">
        <f>Pricing_Model!T56</f>
        <v>0</v>
      </c>
      <c r="I58" s="13">
        <f>Pricing_Model!I56</f>
        <v>0</v>
      </c>
      <c r="J58" s="13">
        <f>Pricing_Model!J56</f>
        <v>0</v>
      </c>
      <c r="K58" s="5">
        <f>Pricing_Model!K56</f>
        <v>0.06</v>
      </c>
      <c r="L58" s="17">
        <f>Pricing_Model!L56</f>
        <v>0.94339622641509424</v>
      </c>
      <c r="M58" s="18">
        <f>IF(B58&lt;=Assumptions!$B$5,Reserving_Model!L58*Reserving_Model!E58*Reserving_Model!M59+Reserving_Model!L58*Reserving_Model!D58,0)</f>
        <v>0</v>
      </c>
      <c r="N58" s="16">
        <f>IF(B58&lt;=Assumptions!$B$5, 1+N59*L58*E58,0)</f>
        <v>0</v>
      </c>
      <c r="O58" s="13">
        <f t="shared" si="1"/>
        <v>0</v>
      </c>
      <c r="P58" s="13">
        <f t="shared" si="2"/>
        <v>0</v>
      </c>
      <c r="Q58" s="13">
        <f t="shared" si="3"/>
        <v>0</v>
      </c>
      <c r="R58" s="13">
        <f t="shared" si="4"/>
        <v>0</v>
      </c>
      <c r="S58" s="13">
        <f t="shared" si="5"/>
        <v>0</v>
      </c>
      <c r="T58" s="13">
        <f>IF(B58&lt;=Assumptions!$B$5, ((T57+F58-G58-H58)*(1+K58)-((I58+J58)*D58))/E58, 0)</f>
        <v>0</v>
      </c>
      <c r="V58" s="21">
        <f t="shared" si="6"/>
        <v>0</v>
      </c>
      <c r="W58" s="14">
        <f>IF(B58&lt;=Assumptions!$B$5, IF(V58&lt;0.1,"OK","CHECK"),0)</f>
        <v>0</v>
      </c>
    </row>
    <row r="59" spans="2:23" x14ac:dyDescent="0.3">
      <c r="B59">
        <f>Pricing_Model!C57</f>
        <v>49</v>
      </c>
      <c r="C59">
        <f t="shared" si="7"/>
        <v>83</v>
      </c>
      <c r="D59" s="2">
        <f>VLOOKUP(C59,Mortality_Table!B55:D155,2,0)</f>
        <v>7.5244000000000005E-2</v>
      </c>
      <c r="E59" s="2">
        <f t="shared" si="0"/>
        <v>0.92475600000000002</v>
      </c>
      <c r="F59" s="13">
        <f>Pricing_Model!W57</f>
        <v>0</v>
      </c>
      <c r="G59" s="13">
        <f>Pricing_Model!U57</f>
        <v>0</v>
      </c>
      <c r="H59" s="13">
        <f>Pricing_Model!T57</f>
        <v>0</v>
      </c>
      <c r="I59" s="13">
        <f>Pricing_Model!I57</f>
        <v>0</v>
      </c>
      <c r="J59" s="13">
        <f>Pricing_Model!J57</f>
        <v>0</v>
      </c>
      <c r="K59" s="5">
        <f>Pricing_Model!K57</f>
        <v>0.06</v>
      </c>
      <c r="L59" s="17">
        <f>Pricing_Model!L57</f>
        <v>0.94339622641509424</v>
      </c>
      <c r="M59" s="18">
        <f>IF(B59&lt;=Assumptions!$B$5,Reserving_Model!L59*Reserving_Model!E59*Reserving_Model!M60+Reserving_Model!L59*Reserving_Model!D59,0)</f>
        <v>0</v>
      </c>
      <c r="N59" s="16">
        <f>IF(B59&lt;=Assumptions!$B$5, 1+N60*L59*E59,0)</f>
        <v>0</v>
      </c>
      <c r="O59" s="13">
        <f t="shared" si="1"/>
        <v>0</v>
      </c>
      <c r="P59" s="13">
        <f t="shared" si="2"/>
        <v>0</v>
      </c>
      <c r="Q59" s="13">
        <f t="shared" si="3"/>
        <v>0</v>
      </c>
      <c r="R59" s="13">
        <f t="shared" si="4"/>
        <v>0</v>
      </c>
      <c r="S59" s="13">
        <f t="shared" si="5"/>
        <v>0</v>
      </c>
      <c r="T59" s="13">
        <f>IF(B59&lt;=Assumptions!$B$5, ((T58+F59-G59-H59)*(1+K59)-((I59+J59)*D59))/E59, 0)</f>
        <v>0</v>
      </c>
      <c r="V59" s="21">
        <f t="shared" si="6"/>
        <v>0</v>
      </c>
      <c r="W59" s="14">
        <f>IF(B59&lt;=Assumptions!$B$5, IF(V59&lt;0.1,"OK","CHECK"),0)</f>
        <v>0</v>
      </c>
    </row>
    <row r="60" spans="2:23" x14ac:dyDescent="0.3">
      <c r="B60">
        <f>Pricing_Model!C58</f>
        <v>50</v>
      </c>
      <c r="C60">
        <f t="shared" si="7"/>
        <v>84</v>
      </c>
      <c r="D60" s="2">
        <f>VLOOKUP(C60,Mortality_Table!B56:D156,2,0)</f>
        <v>8.4093000000000001E-2</v>
      </c>
      <c r="E60" s="2">
        <f t="shared" si="0"/>
        <v>0.91590700000000003</v>
      </c>
      <c r="F60" s="13">
        <f>Pricing_Model!W58</f>
        <v>0</v>
      </c>
      <c r="G60" s="13">
        <f>Pricing_Model!U58</f>
        <v>0</v>
      </c>
      <c r="H60" s="13">
        <f>Pricing_Model!T58</f>
        <v>0</v>
      </c>
      <c r="I60" s="13">
        <f>Pricing_Model!I58</f>
        <v>0</v>
      </c>
      <c r="J60" s="13">
        <f>Pricing_Model!J58</f>
        <v>0</v>
      </c>
      <c r="K60" s="5">
        <f>Pricing_Model!K58</f>
        <v>0.06</v>
      </c>
      <c r="L60" s="17">
        <f>Pricing_Model!L58</f>
        <v>0.94339622641509424</v>
      </c>
      <c r="M60" s="18">
        <f>IF(B60&lt;=Assumptions!$B$5,Reserving_Model!L60*Reserving_Model!E60*Reserving_Model!M61+Reserving_Model!L60*Reserving_Model!D60,0)</f>
        <v>0</v>
      </c>
      <c r="N60" s="16">
        <f>IF(B60&lt;=Assumptions!$B$5, 1+N61*L60*E60,0)</f>
        <v>0</v>
      </c>
      <c r="O60" s="13">
        <f t="shared" si="1"/>
        <v>0</v>
      </c>
      <c r="P60" s="13">
        <f t="shared" si="2"/>
        <v>0</v>
      </c>
      <c r="Q60" s="13">
        <f t="shared" si="3"/>
        <v>0</v>
      </c>
      <c r="R60" s="13">
        <f t="shared" si="4"/>
        <v>0</v>
      </c>
      <c r="S60" s="13">
        <f t="shared" si="5"/>
        <v>0</v>
      </c>
      <c r="T60" s="13">
        <f>IF(B60&lt;=Assumptions!$B$5, ((T59+F60-G60-H60)*(1+K60)-((I60+J60)*D60))/E60, 0)</f>
        <v>0</v>
      </c>
      <c r="V60" s="21">
        <f t="shared" si="6"/>
        <v>0</v>
      </c>
      <c r="W60" s="14">
        <f>IF(B60&lt;=Assumptions!$B$5, IF(V60&lt;0.1,"OK","CHECK"),0)</f>
        <v>0</v>
      </c>
    </row>
  </sheetData>
  <conditionalFormatting sqref="V11">
    <cfRule type="cellIs" dxfId="5" priority="3" operator="greaterThan">
      <formula>0.1</formula>
    </cfRule>
  </conditionalFormatting>
  <conditionalFormatting sqref="V11:V60">
    <cfRule type="cellIs" dxfId="4" priority="1" operator="greaterThan">
      <formula>0.1</formula>
    </cfRule>
    <cfRule type="cellIs" dxfId="3" priority="2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BF72-0FBE-4127-A0A7-8DA83F0F7F15}">
  <dimension ref="B3:H6"/>
  <sheetViews>
    <sheetView zoomScale="123" workbookViewId="0">
      <selection activeCell="E5" sqref="E5"/>
    </sheetView>
  </sheetViews>
  <sheetFormatPr defaultRowHeight="14.4" x14ac:dyDescent="0.3"/>
  <cols>
    <col min="3" max="3" width="11.109375" bestFit="1" customWidth="1"/>
    <col min="5" max="6" width="11.109375" customWidth="1"/>
    <col min="7" max="7" width="10.5546875" customWidth="1"/>
    <col min="8" max="8" width="10" customWidth="1"/>
  </cols>
  <sheetData>
    <row r="3" spans="2:8" ht="28.8" x14ac:dyDescent="0.3">
      <c r="C3" t="s">
        <v>53</v>
      </c>
      <c r="D3" t="s">
        <v>61</v>
      </c>
      <c r="E3" s="10" t="s">
        <v>62</v>
      </c>
      <c r="F3" s="10"/>
      <c r="G3" s="10" t="s">
        <v>63</v>
      </c>
      <c r="H3" s="10" t="s">
        <v>64</v>
      </c>
    </row>
    <row r="4" spans="2:8" x14ac:dyDescent="0.3">
      <c r="C4" s="4">
        <v>0.05</v>
      </c>
      <c r="D4" s="22">
        <v>1285.279195541754</v>
      </c>
      <c r="E4" s="20">
        <f>(D4-$D$5)/$D$5</f>
        <v>9.5602735362825715E-3</v>
      </c>
      <c r="G4" s="19">
        <v>1464</v>
      </c>
      <c r="H4" s="5">
        <f>(G4-$G$5)/$G$5</f>
        <v>3.6093418259023353E-2</v>
      </c>
    </row>
    <row r="5" spans="2:8" x14ac:dyDescent="0.3">
      <c r="B5" t="s">
        <v>65</v>
      </c>
      <c r="C5" s="4">
        <v>0.06</v>
      </c>
      <c r="D5" s="22">
        <v>1273.1079354377571</v>
      </c>
      <c r="E5" s="14">
        <f t="shared" ref="E5:E6" si="0">(D5-$D$5)/$D$5</f>
        <v>0</v>
      </c>
      <c r="G5" s="23">
        <v>1413</v>
      </c>
      <c r="H5" s="14">
        <f t="shared" ref="H5:H6" si="1">(G5-$G$5)/$G$5</f>
        <v>0</v>
      </c>
    </row>
    <row r="6" spans="2:8" x14ac:dyDescent="0.3">
      <c r="C6" s="4">
        <v>7.0000000000000007E-2</v>
      </c>
      <c r="D6" s="22">
        <v>1261.7290722981315</v>
      </c>
      <c r="E6" s="20">
        <f t="shared" si="0"/>
        <v>-8.9378620797873863E-3</v>
      </c>
      <c r="G6">
        <v>1236</v>
      </c>
      <c r="H6" s="5">
        <f t="shared" si="1"/>
        <v>-0.12526539278131635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B12B-E00E-4052-9A3B-F783B1DBF532}">
  <dimension ref="A3:Q6"/>
  <sheetViews>
    <sheetView topLeftCell="A2" workbookViewId="0">
      <selection activeCell="E9" sqref="E9"/>
    </sheetView>
  </sheetViews>
  <sheetFormatPr defaultRowHeight="14.4" x14ac:dyDescent="0.3"/>
  <cols>
    <col min="3" max="3" width="5.21875" bestFit="1" customWidth="1"/>
    <col min="4" max="4" width="11.21875" bestFit="1" customWidth="1"/>
    <col min="5" max="5" width="11.109375" bestFit="1" customWidth="1"/>
    <col min="7" max="7" width="10.88671875" bestFit="1" customWidth="1"/>
    <col min="14" max="14" width="10.6640625" customWidth="1"/>
    <col min="15" max="15" width="17" customWidth="1"/>
    <col min="17" max="17" width="12.77734375" customWidth="1"/>
  </cols>
  <sheetData>
    <row r="3" spans="1:17" ht="23.4" x14ac:dyDescent="0.45">
      <c r="B3" s="33" t="s">
        <v>69</v>
      </c>
      <c r="C3" s="33"/>
      <c r="D3" s="33"/>
      <c r="E3" s="33"/>
      <c r="F3" s="33"/>
      <c r="G3" s="33"/>
      <c r="K3" s="33" t="s">
        <v>70</v>
      </c>
      <c r="L3" s="33"/>
      <c r="M3" s="33"/>
      <c r="N3" s="33"/>
      <c r="O3" s="33"/>
    </row>
    <row r="5" spans="1:17" ht="29.4" customHeight="1" x14ac:dyDescent="0.3">
      <c r="A5" t="s">
        <v>71</v>
      </c>
      <c r="B5" s="25" t="s">
        <v>67</v>
      </c>
      <c r="C5" s="25" t="s">
        <v>68</v>
      </c>
      <c r="D5" s="25" t="s">
        <v>57</v>
      </c>
      <c r="E5" s="25" t="s">
        <v>53</v>
      </c>
      <c r="F5" s="25" t="s">
        <v>32</v>
      </c>
      <c r="G5" s="25" t="s">
        <v>33</v>
      </c>
      <c r="K5" s="25" t="s">
        <v>61</v>
      </c>
      <c r="L5" s="26" t="s">
        <v>72</v>
      </c>
      <c r="M5" s="26" t="s">
        <v>73</v>
      </c>
      <c r="N5" s="26" t="s">
        <v>74</v>
      </c>
      <c r="O5" s="26" t="s">
        <v>75</v>
      </c>
      <c r="Q5" s="29" t="s">
        <v>76</v>
      </c>
    </row>
    <row r="6" spans="1:17" x14ac:dyDescent="0.3">
      <c r="A6">
        <v>1</v>
      </c>
      <c r="B6">
        <f>Assumptions!B3</f>
        <v>35</v>
      </c>
      <c r="C6">
        <f>Assumptions!B5</f>
        <v>25</v>
      </c>
      <c r="D6">
        <f>Assumptions!B6</f>
        <v>100000</v>
      </c>
      <c r="E6" s="4">
        <f>Assumptions!B7</f>
        <v>0.06</v>
      </c>
      <c r="F6">
        <f>Assumptions!B8</f>
        <v>1000</v>
      </c>
      <c r="G6" s="4">
        <f>Assumptions!B10</f>
        <v>0.02</v>
      </c>
      <c r="K6" s="27">
        <f>Pricing_Model!$T$2</f>
        <v>1273.1079354377571</v>
      </c>
      <c r="L6" s="7">
        <f>Pricing_Model!$M$60</f>
        <v>3293.8800129872911</v>
      </c>
      <c r="M6" s="7">
        <f>Pricing_Model!$Y$60</f>
        <v>16594.670000000006</v>
      </c>
      <c r="N6" s="7">
        <f>Reserving_Model!S20</f>
        <v>1412.8459439681337</v>
      </c>
      <c r="O6" s="28">
        <f>Reserving_Model!Y5</f>
        <v>1.6656322180569283E-2</v>
      </c>
      <c r="Q6" t="str">
        <f>IF(O6&lt;0.1,"VALIDATED", "CHECK MODEL")</f>
        <v>VALIDATED</v>
      </c>
    </row>
  </sheetData>
  <mergeCells count="2">
    <mergeCell ref="B3:G3"/>
    <mergeCell ref="K3:O3"/>
  </mergeCells>
  <phoneticPr fontId="7" type="noConversion"/>
  <conditionalFormatting sqref="Q6">
    <cfRule type="cellIs" dxfId="2" priority="1" operator="equal">
      <formula>"CHECK MODEL"</formula>
    </cfRule>
    <cfRule type="cellIs" dxfId="1" priority="2" operator="equal">
      <formula>"ERROR"</formula>
    </cfRule>
    <cfRule type="cellIs" dxfId="0" priority="3" operator="equal">
      <formula>"VALIDATED"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Mortality_Table</vt:lpstr>
      <vt:lpstr>Pricing_Model</vt:lpstr>
      <vt:lpstr>Reserving_Model</vt:lpstr>
      <vt:lpstr>Interest_Rate_Sensitivity</vt:lpstr>
      <vt:lpstr>Model_Summary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Santia</dc:creator>
  <cp:lastModifiedBy>Gagan Santia</cp:lastModifiedBy>
  <dcterms:created xsi:type="dcterms:W3CDTF">2026-02-22T08:40:53Z</dcterms:created>
  <dcterms:modified xsi:type="dcterms:W3CDTF">2026-03-01T12:48:30Z</dcterms:modified>
</cp:coreProperties>
</file>